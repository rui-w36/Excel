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fileSharing readOnlyRecommended="1" userName="Microsoft Office User" algorithmName="SHA-512" hashValue="tsZYw4EYQb08DSJdYgtrgcoT+sswZ/GnrDVixG8c3aG6//Re0HpMnbX+e+n0TgaL0fjv6hY+FjsSbgY7GrL8iA==" saltValue="xYlVF597SF611R3ROPLBe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excel 作品/"/>
    </mc:Choice>
  </mc:AlternateContent>
  <xr:revisionPtr revIDLastSave="0" documentId="13_ncr:10001_{F3EB4602-1D1E-1F4D-95B9-7C9B1E3C364D}" xr6:coauthVersionLast="47" xr6:coauthVersionMax="47" xr10:uidLastSave="{00000000-0000-0000-0000-000000000000}"/>
  <bookViews>
    <workbookView xWindow="800" yWindow="500" windowWidth="31540" windowHeight="19080" activeTab="1" xr2:uid="{6E1C75B0-170B-654F-8348-ACC5B9229DE6}"/>
  </bookViews>
  <sheets>
    <sheet name="Dashboard" sheetId="4" r:id="rId1"/>
    <sheet name="RawData" sheetId="1" r:id="rId2"/>
    <sheet name="Calc" sheetId="2" r:id="rId3"/>
    <sheet name="Pivot" sheetId="3" r:id="rId4"/>
    <sheet name="summary" sheetId="5" r:id="rId5"/>
  </sheets>
  <definedNames>
    <definedName name="DeptSelection">Calc!$B$74</definedName>
    <definedName name="PivotYear">Pivot!$B$1</definedName>
    <definedName name="PriorYear">Calc!$B$2</definedName>
    <definedName name="SelectedYear">Calc!$B$1</definedName>
    <definedName name="ToTal_Call_Volume">Calc!$B$97</definedName>
    <definedName name="Total_Marketing_Cost">Calc!$B$96</definedName>
    <definedName name="Total_Revenue">Calc!$B$95</definedName>
    <definedName name="切片器_Year">#N/A</definedName>
  </definedNames>
  <calcPr calcId="191029"/>
  <pivotCaches>
    <pivotCache cacheId="81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B15" i="2" s="1"/>
  <c r="B76" i="2" l="1"/>
  <c r="B77" i="2"/>
  <c r="B34" i="2"/>
  <c r="B78" i="2"/>
  <c r="B26" i="2"/>
  <c r="B96" i="2"/>
  <c r="B42" i="2"/>
  <c r="B97" i="2"/>
  <c r="B38" i="2"/>
  <c r="B82" i="2"/>
  <c r="B10" i="2"/>
  <c r="B45" i="2"/>
  <c r="B8" i="2"/>
  <c r="B17" i="2"/>
  <c r="B80" i="2"/>
  <c r="B40" i="2"/>
  <c r="B64" i="2"/>
  <c r="B23" i="2"/>
  <c r="B62" i="2"/>
  <c r="B44" i="2"/>
  <c r="B51" i="2"/>
  <c r="B84" i="2"/>
  <c r="B49" i="2"/>
  <c r="B36" i="2"/>
  <c r="B9" i="2"/>
  <c r="B50" i="2"/>
  <c r="B70" i="2"/>
  <c r="B86" i="2"/>
  <c r="B24" i="2"/>
  <c r="B66" i="2"/>
  <c r="B72" i="2"/>
  <c r="B22" i="2"/>
  <c r="B41" i="2"/>
  <c r="B55" i="2"/>
  <c r="B35" i="2"/>
  <c r="B59" i="2"/>
  <c r="B56" i="2"/>
  <c r="B20" i="2"/>
  <c r="B6" i="2"/>
  <c r="B67" i="2"/>
  <c r="B53" i="2"/>
  <c r="B65" i="2"/>
  <c r="B12" i="2"/>
  <c r="B31" i="2"/>
  <c r="B43" i="2"/>
  <c r="B73" i="2"/>
  <c r="B63" i="2"/>
  <c r="B28" i="2"/>
  <c r="B48" i="2"/>
  <c r="B54" i="2"/>
  <c r="B13" i="2"/>
  <c r="B37" i="2"/>
  <c r="B39" i="2"/>
  <c r="B83" i="2"/>
  <c r="B11" i="2"/>
  <c r="B21" i="2"/>
  <c r="B71" i="2"/>
  <c r="B52" i="2"/>
  <c r="B69" i="2"/>
  <c r="B57" i="2"/>
  <c r="B29" i="2"/>
  <c r="B30" i="2"/>
  <c r="B16" i="2"/>
  <c r="B79" i="2"/>
  <c r="B87" i="2"/>
  <c r="B68" i="2"/>
  <c r="B58" i="2"/>
  <c r="B25" i="2"/>
  <c r="B81" i="2"/>
  <c r="B7" i="2"/>
  <c r="B14" i="2"/>
  <c r="B85" i="2"/>
  <c r="B27" i="2"/>
  <c r="B90" i="2"/>
  <c r="B91" i="2"/>
  <c r="B92" i="2"/>
  <c r="B2" i="2"/>
  <c r="C77" i="2" l="1"/>
  <c r="D77" i="2" s="1"/>
  <c r="C85" i="2"/>
  <c r="D85" i="2" s="1"/>
  <c r="C86" i="2"/>
  <c r="C87" i="2"/>
  <c r="D87" i="2" s="1"/>
  <c r="C76" i="2"/>
  <c r="D76" i="2" s="1"/>
  <c r="C82" i="2"/>
  <c r="D82" i="2" s="1"/>
  <c r="C83" i="2"/>
  <c r="D83" i="2" s="1"/>
  <c r="C84" i="2"/>
  <c r="D84" i="2" s="1"/>
  <c r="C78" i="2"/>
  <c r="D78" i="2" s="1"/>
  <c r="C79" i="2"/>
  <c r="D79" i="2" s="1"/>
  <c r="C80" i="2"/>
  <c r="D80" i="2" s="1"/>
  <c r="C81" i="2"/>
  <c r="D81" i="2" s="1"/>
  <c r="D86" i="2"/>
  <c r="B95" i="2"/>
  <c r="C63" i="2"/>
  <c r="D63" i="2" s="1"/>
  <c r="C97" i="2"/>
  <c r="D97" i="2" s="1"/>
  <c r="C96" i="2"/>
  <c r="D96" i="2" s="1"/>
  <c r="C71" i="2"/>
  <c r="D71" i="2" s="1"/>
  <c r="C49" i="2"/>
  <c r="D49" i="2" s="1"/>
  <c r="C57" i="2"/>
  <c r="D57" i="2" s="1"/>
  <c r="C35" i="2"/>
  <c r="D35" i="2" s="1"/>
  <c r="C43" i="2"/>
  <c r="D43" i="2" s="1"/>
  <c r="C42" i="2"/>
  <c r="D42" i="2" s="1"/>
  <c r="C64" i="2"/>
  <c r="D64" i="2" s="1"/>
  <c r="C72" i="2"/>
  <c r="D72" i="2" s="1"/>
  <c r="C50" i="2"/>
  <c r="D50" i="2" s="1"/>
  <c r="C58" i="2"/>
  <c r="D58" i="2" s="1"/>
  <c r="C36" i="2"/>
  <c r="D36" i="2" s="1"/>
  <c r="C44" i="2"/>
  <c r="D44" i="2" s="1"/>
  <c r="C48" i="2"/>
  <c r="D48" i="2" s="1"/>
  <c r="C65" i="2"/>
  <c r="D65" i="2" s="1"/>
  <c r="C73" i="2"/>
  <c r="D73" i="2" s="1"/>
  <c r="C51" i="2"/>
  <c r="D51" i="2" s="1"/>
  <c r="C59" i="2"/>
  <c r="D59" i="2" s="1"/>
  <c r="C37" i="2"/>
  <c r="D37" i="2" s="1"/>
  <c r="C45" i="2"/>
  <c r="D45" i="2" s="1"/>
  <c r="C41" i="2"/>
  <c r="D41" i="2" s="1"/>
  <c r="C70" i="2"/>
  <c r="D70" i="2" s="1"/>
  <c r="C66" i="2"/>
  <c r="D66" i="2" s="1"/>
  <c r="C52" i="2"/>
  <c r="D52" i="2" s="1"/>
  <c r="C38" i="2"/>
  <c r="D38" i="2" s="1"/>
  <c r="C56" i="2"/>
  <c r="D56" i="2" s="1"/>
  <c r="C67" i="2"/>
  <c r="D67" i="2" s="1"/>
  <c r="C53" i="2"/>
  <c r="D53" i="2" s="1"/>
  <c r="C39" i="2"/>
  <c r="D39" i="2" s="1"/>
  <c r="C34" i="2"/>
  <c r="C68" i="2"/>
  <c r="D68" i="2" s="1"/>
  <c r="C54" i="2"/>
  <c r="D54" i="2" s="1"/>
  <c r="C40" i="2"/>
  <c r="D40" i="2" s="1"/>
  <c r="C69" i="2"/>
  <c r="D69" i="2" s="1"/>
  <c r="C62" i="2"/>
  <c r="D62" i="2" s="1"/>
  <c r="C55" i="2"/>
  <c r="D55" i="2" s="1"/>
  <c r="C21" i="2"/>
  <c r="D21" i="2" s="1"/>
  <c r="C22" i="2"/>
  <c r="D22" i="2" s="1"/>
  <c r="C30" i="2"/>
  <c r="D30" i="2" s="1"/>
  <c r="C29" i="2"/>
  <c r="D29" i="2" s="1"/>
  <c r="C23" i="2"/>
  <c r="D23" i="2" s="1"/>
  <c r="C31" i="2"/>
  <c r="D31" i="2" s="1"/>
  <c r="C24" i="2"/>
  <c r="D24" i="2" s="1"/>
  <c r="C20" i="2"/>
  <c r="D20" i="2" s="1"/>
  <c r="C25" i="2"/>
  <c r="D25" i="2" s="1"/>
  <c r="C26" i="2"/>
  <c r="D26" i="2" s="1"/>
  <c r="C27" i="2"/>
  <c r="D27" i="2" s="1"/>
  <c r="C28" i="2"/>
  <c r="D28" i="2" s="1"/>
  <c r="C14" i="2"/>
  <c r="C12" i="2"/>
  <c r="C10" i="2"/>
  <c r="C17" i="2"/>
  <c r="C6" i="2"/>
  <c r="C13" i="2"/>
  <c r="C8" i="2"/>
  <c r="C11" i="2"/>
  <c r="C9" i="2"/>
  <c r="C16" i="2"/>
  <c r="C15" i="2"/>
  <c r="C7" i="2"/>
  <c r="D34" i="2" l="1"/>
  <c r="C95" i="2"/>
  <c r="D95" i="2" s="1"/>
  <c r="D13" i="2"/>
  <c r="D8" i="2"/>
  <c r="D17" i="2"/>
  <c r="D12" i="2"/>
  <c r="D14" i="2"/>
  <c r="D11" i="2"/>
  <c r="D9" i="2"/>
  <c r="D15" i="2"/>
  <c r="D6" i="2"/>
  <c r="D16" i="2"/>
  <c r="D10" i="2"/>
  <c r="D7" i="2"/>
</calcChain>
</file>

<file path=xl/sharedStrings.xml><?xml version="1.0" encoding="utf-8"?>
<sst xmlns="http://schemas.openxmlformats.org/spreadsheetml/2006/main" count="52" uniqueCount="38">
  <si>
    <t>Year</t>
  </si>
  <si>
    <t>Month</t>
  </si>
  <si>
    <t>Total_Marketing_Cost</t>
  </si>
  <si>
    <t>求和项:Total_Call_Volume</t>
  </si>
  <si>
    <t>SELECTED YEAR</t>
    <phoneticPr fontId="2" type="noConversion"/>
  </si>
  <si>
    <t>PRIOR YEAR</t>
    <phoneticPr fontId="2" type="noConversion"/>
  </si>
  <si>
    <t>MktCost_Prior</t>
  </si>
  <si>
    <t>Call_Prior</t>
  </si>
  <si>
    <t>Plumb_Prior</t>
  </si>
  <si>
    <t>HVAC_Prior</t>
  </si>
  <si>
    <t>Elec_Prior</t>
  </si>
  <si>
    <t>DEPT SELECTION</t>
    <phoneticPr fontId="2" type="noConversion"/>
  </si>
  <si>
    <t>HVAC</t>
    <phoneticPr fontId="2" type="noConversion"/>
  </si>
  <si>
    <t>MktCost_YoY</t>
    <phoneticPr fontId="2" type="noConversion"/>
  </si>
  <si>
    <t>Call_YoY</t>
    <phoneticPr fontId="2" type="noConversion"/>
  </si>
  <si>
    <t>Plumb_YoY</t>
    <phoneticPr fontId="2" type="noConversion"/>
  </si>
  <si>
    <t>HVAC_YoY</t>
    <phoneticPr fontId="2" type="noConversion"/>
  </si>
  <si>
    <t>Elec_YoY</t>
    <phoneticPr fontId="2" type="noConversion"/>
  </si>
  <si>
    <t>YoY</t>
    <phoneticPr fontId="2" type="noConversion"/>
  </si>
  <si>
    <t>Plumbing</t>
    <phoneticPr fontId="2" type="noConversion"/>
  </si>
  <si>
    <t>Electrical</t>
    <phoneticPr fontId="2" type="noConversion"/>
  </si>
  <si>
    <t>Department</t>
    <phoneticPr fontId="2" type="noConversion"/>
  </si>
  <si>
    <t>Revenue Share</t>
    <phoneticPr fontId="2" type="noConversion"/>
  </si>
  <si>
    <t>Marketing Cost</t>
    <phoneticPr fontId="2" type="noConversion"/>
  </si>
  <si>
    <t>Total_Call_Volume</t>
    <phoneticPr fontId="2" type="noConversion"/>
  </si>
  <si>
    <t>Call Volume</t>
    <phoneticPr fontId="2" type="noConversion"/>
  </si>
  <si>
    <t>Revenue_Plumbing</t>
    <phoneticPr fontId="2" type="noConversion"/>
  </si>
  <si>
    <t>Plumbing Revenue</t>
    <phoneticPr fontId="2" type="noConversion"/>
  </si>
  <si>
    <t>Revenue_HVAC</t>
    <phoneticPr fontId="2" type="noConversion"/>
  </si>
  <si>
    <t>HVAC Revenue</t>
    <phoneticPr fontId="2" type="noConversion"/>
  </si>
  <si>
    <t>Revenue_Electrical</t>
    <phoneticPr fontId="2" type="noConversion"/>
  </si>
  <si>
    <t>Electrical Revenue</t>
    <phoneticPr fontId="2" type="noConversion"/>
  </si>
  <si>
    <t>Total Marketing Cost</t>
    <phoneticPr fontId="2" type="noConversion"/>
  </si>
  <si>
    <t>ToTal Call Volume</t>
    <phoneticPr fontId="2" type="noConversion"/>
  </si>
  <si>
    <t>Total Revenue</t>
    <phoneticPr fontId="2" type="noConversion"/>
  </si>
  <si>
    <t>current</t>
    <phoneticPr fontId="2" type="noConversion"/>
  </si>
  <si>
    <t>prior</t>
    <phoneticPr fontId="2" type="noConversion"/>
  </si>
  <si>
    <t>Revenue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</si>
</sst>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24" formatCode="\$#,##0_);[Red]\(\$#,##0\)"/>
    <numFmt numFmtId="176" formatCode="\$#,##0.00"/>
    <numFmt numFmtId="177" formatCode="0.0%"/>
    <numFmt numFmtId="185" formatCode="\+0.0%;\-0.0%;0"/>
  </numFmts>
  <fonts count="7">
    <font>
      <sz val="12"/>
      <color theme="1"/>
      <name val="黑体"/>
      <family val="2"/>
      <charset val="134"/>
      <scheme val="minor"/>
    </font>
    <font>
      <sz val="12"/>
      <color theme="1"/>
      <name val="黑体"/>
      <family val="2"/>
      <charset val="134"/>
      <scheme val="minor"/>
    </font>
    <font>
      <sz val="9"/>
      <name val="黑体"/>
      <family val="2"/>
      <charset val="134"/>
      <scheme val="minor"/>
    </font>
    <font>
      <b/>
      <sz val="12"/>
      <color theme="1"/>
      <name val="黑体"/>
      <family val="4"/>
      <charset val="134"/>
      <scheme val="minor"/>
    </font>
    <font>
      <b/>
      <sz val="14"/>
      <color theme="0"/>
      <name val="黑体"/>
      <family val="4"/>
      <charset val="134"/>
      <scheme val="minor"/>
    </font>
    <font>
      <sz val="12"/>
      <color rgb="FF000000"/>
      <name val="黑体"/>
      <family val="3"/>
      <charset val="134"/>
    </font>
    <font>
      <sz val="9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4" fillId="2" borderId="0" xfId="0" applyFont="1" applyFill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0" xfId="0" applyFont="1" applyFill="1">
      <alignment vertical="center"/>
    </xf>
    <xf numFmtId="0" fontId="0" fillId="4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177" fontId="0" fillId="6" borderId="0" xfId="1" applyNumberFormat="1" applyFont="1" applyFill="1">
      <alignment vertical="center"/>
    </xf>
    <xf numFmtId="0" fontId="0" fillId="7" borderId="0" xfId="0" applyFill="1">
      <alignment vertical="center"/>
    </xf>
    <xf numFmtId="0" fontId="3" fillId="7" borderId="0" xfId="0" applyFont="1" applyFill="1">
      <alignment vertical="center"/>
    </xf>
    <xf numFmtId="0" fontId="0" fillId="0" borderId="0" xfId="0" applyFill="1">
      <alignment vertical="center"/>
    </xf>
    <xf numFmtId="177" fontId="0" fillId="4" borderId="0" xfId="1" applyNumberFormat="1" applyFont="1" applyFill="1">
      <alignment vertical="center"/>
    </xf>
    <xf numFmtId="0" fontId="0" fillId="8" borderId="0" xfId="0" applyFill="1">
      <alignment vertical="center"/>
    </xf>
    <xf numFmtId="0" fontId="0" fillId="6" borderId="0" xfId="1" applyNumberFormat="1" applyFont="1" applyFill="1">
      <alignment vertical="center"/>
    </xf>
    <xf numFmtId="177" fontId="0" fillId="0" borderId="0" xfId="1" applyNumberFormat="1" applyFont="1" applyFill="1">
      <alignment vertical="center"/>
    </xf>
    <xf numFmtId="0" fontId="0" fillId="9" borderId="0" xfId="0" applyFill="1">
      <alignment vertical="center"/>
    </xf>
    <xf numFmtId="24" fontId="0" fillId="9" borderId="0" xfId="1" applyNumberFormat="1" applyFont="1" applyFill="1" applyAlignment="1">
      <alignment vertical="center" wrapText="1"/>
    </xf>
    <xf numFmtId="0" fontId="0" fillId="9" borderId="0" xfId="1" applyNumberFormat="1" applyFont="1" applyFill="1">
      <alignment vertical="center"/>
    </xf>
    <xf numFmtId="185" fontId="0" fillId="9" borderId="0" xfId="1" applyNumberFormat="1" applyFont="1" applyFill="1">
      <alignment vertical="center"/>
    </xf>
    <xf numFmtId="177" fontId="0" fillId="9" borderId="0" xfId="1" applyNumberFormat="1" applyFont="1" applyFill="1">
      <alignment vertical="center"/>
    </xf>
    <xf numFmtId="24" fontId="0" fillId="9" borderId="0" xfId="1" applyNumberFormat="1" applyFont="1" applyFill="1">
      <alignment vertical="center"/>
    </xf>
    <xf numFmtId="177" fontId="0" fillId="5" borderId="0" xfId="1" applyNumberFormat="1" applyFont="1" applyFill="1">
      <alignment vertical="center"/>
    </xf>
  </cellXfs>
  <cellStyles count="2">
    <cellStyle name="百分比" xfId="1" builtinId="5"/>
    <cellStyle name="常规" xfId="0" builtinId="0"/>
  </cellStyles>
  <dxfs count="10">
    <dxf>
      <font>
        <color rgb="FF92D050"/>
      </font>
    </dxf>
    <dxf>
      <numFmt numFmtId="176" formatCode="\$#,##0.00"/>
      <alignment horizontal="center" vertical="center" textRotation="0" wrapText="0" indent="0" justifyLastLine="0" shrinkToFit="0" readingOrder="0"/>
      <protection locked="1" hidden="0"/>
    </dxf>
    <dxf>
      <numFmt numFmtId="176" formatCode="\$#,##0.00"/>
      <alignment horizontal="center" vertical="center" textRotation="0" wrapText="0" indent="0" justifyLastLine="0" shrinkToFit="0" readingOrder="0"/>
      <protection locked="1" hidden="0"/>
    </dxf>
    <dxf>
      <numFmt numFmtId="176" formatCode="\$#,##0.00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176" formatCode="\$#,##0.00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黑体"/>
        <charset val="13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8F5E3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altLang="zh-CN" sz="1800" b="1"/>
              <a:t>Department</a:t>
            </a:r>
            <a:r>
              <a:rPr lang="de-DE" altLang="zh-CN" sz="1800" b="1" baseline="0"/>
              <a:t> Revenue by Month</a:t>
            </a:r>
            <a:endParaRPr lang="zh-CN" alt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Calc!$B$75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Calc!$A$76:$A$87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Calc!$B$76:$B$87</c:f>
              <c:numCache>
                <c:formatCode>General</c:formatCode>
                <c:ptCount val="12"/>
                <c:pt idx="0">
                  <c:v>26003</c:v>
                </c:pt>
                <c:pt idx="1">
                  <c:v>23000</c:v>
                </c:pt>
                <c:pt idx="2">
                  <c:v>25000</c:v>
                </c:pt>
                <c:pt idx="3">
                  <c:v>24500</c:v>
                </c:pt>
                <c:pt idx="4">
                  <c:v>27000</c:v>
                </c:pt>
                <c:pt idx="5">
                  <c:v>30000</c:v>
                </c:pt>
                <c:pt idx="6">
                  <c:v>32000</c:v>
                </c:pt>
                <c:pt idx="7">
                  <c:v>31000</c:v>
                </c:pt>
                <c:pt idx="8">
                  <c:v>27500</c:v>
                </c:pt>
                <c:pt idx="9">
                  <c:v>26000</c:v>
                </c:pt>
                <c:pt idx="10">
                  <c:v>25500</c:v>
                </c:pt>
                <c:pt idx="11">
                  <c:v>29000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D3-3240-AC2F-845CFD793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1029439"/>
        <c:axId val="791031087"/>
      </c:barChart>
      <c:lineChart>
        <c:grouping val="standard"/>
        <c:varyColors val="0"/>
        <c:ser>
          <c:idx val="1"/>
          <c:order val="1"/>
          <c:tx>
            <c:strRef>
              <c:f>Calc!$D$75</c:f>
              <c:strCache>
                <c:ptCount val="1"/>
                <c:pt idx="0">
                  <c:v>YoY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Calc!$A$76:$A$87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Calc!$D$76:$D$87</c:f>
              <c:numCache>
                <c:formatCode>0.0%</c:formatCode>
                <c:ptCount val="12"/>
                <c:pt idx="0">
                  <c:v>8.3368052662278147E-2</c:v>
                </c:pt>
                <c:pt idx="1">
                  <c:v>9.5238095238095233E-2</c:v>
                </c:pt>
                <c:pt idx="2">
                  <c:v>8.6956521739130432E-2</c:v>
                </c:pt>
                <c:pt idx="3">
                  <c:v>8.8888888888888892E-2</c:v>
                </c:pt>
                <c:pt idx="4">
                  <c:v>0.08</c:v>
                </c:pt>
                <c:pt idx="5">
                  <c:v>9.0909090909090912E-2</c:v>
                </c:pt>
                <c:pt idx="6">
                  <c:v>8.4745762711864403E-2</c:v>
                </c:pt>
                <c:pt idx="7">
                  <c:v>8.771929824561403E-2</c:v>
                </c:pt>
                <c:pt idx="8">
                  <c:v>7.8431372549019607E-2</c:v>
                </c:pt>
                <c:pt idx="9">
                  <c:v>8.3333333333333329E-2</c:v>
                </c:pt>
                <c:pt idx="10">
                  <c:v>8.5106382978723402E-2</c:v>
                </c:pt>
                <c:pt idx="11">
                  <c:v>9.4339622641509441E-2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D3-3240-AC2F-845CFD793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879903"/>
        <c:axId val="790841135"/>
      </c:lineChart>
      <c:catAx>
        <c:axId val="79102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1031087"/>
        <c:crosses val="autoZero"/>
        <c:auto val="1"/>
        <c:lblAlgn val="ctr"/>
        <c:lblOffset val="100"/>
        <c:noMultiLvlLbl val="0"/>
      </c:catAx>
      <c:valAx>
        <c:axId val="791031087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1029439"/>
        <c:crosses val="autoZero"/>
        <c:crossBetween val="between"/>
      </c:valAx>
      <c:valAx>
        <c:axId val="790841135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accent5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0879903"/>
        <c:crosses val="max"/>
        <c:crossBetween val="between"/>
      </c:valAx>
      <c:catAx>
        <c:axId val="7908799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08411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800" b="1"/>
              <a:t>Marketing Cost</a:t>
            </a:r>
            <a:endParaRPr lang="zh-CN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Calc!$B$5</c:f>
              <c:strCache>
                <c:ptCount val="1"/>
                <c:pt idx="0">
                  <c:v>Marketing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Calc!$A$6:$A$17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Calc!$B$6:$B$17</c:f>
              <c:numCache>
                <c:formatCode>General</c:formatCode>
                <c:ptCount val="12"/>
                <c:pt idx="0">
                  <c:v>3803</c:v>
                </c:pt>
                <c:pt idx="1">
                  <c:v>3400</c:v>
                </c:pt>
                <c:pt idx="2">
                  <c:v>3700</c:v>
                </c:pt>
                <c:pt idx="3">
                  <c:v>3500</c:v>
                </c:pt>
                <c:pt idx="4">
                  <c:v>4000</c:v>
                </c:pt>
                <c:pt idx="5">
                  <c:v>5000</c:v>
                </c:pt>
                <c:pt idx="6">
                  <c:v>5600</c:v>
                </c:pt>
                <c:pt idx="7">
                  <c:v>5300</c:v>
                </c:pt>
                <c:pt idx="8">
                  <c:v>4200</c:v>
                </c:pt>
                <c:pt idx="9">
                  <c:v>4100</c:v>
                </c:pt>
                <c:pt idx="10">
                  <c:v>4400</c:v>
                </c:pt>
                <c:pt idx="11">
                  <c:v>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92-5B45-8CCA-C25FE97B2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6447903"/>
        <c:axId val="1456276959"/>
      </c:barChart>
      <c:lineChart>
        <c:grouping val="standard"/>
        <c:varyColors val="0"/>
        <c:ser>
          <c:idx val="1"/>
          <c:order val="1"/>
          <c:tx>
            <c:strRef>
              <c:f>Calc!$D$5</c:f>
              <c:strCache>
                <c:ptCount val="1"/>
                <c:pt idx="0">
                  <c:v>YoY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Calc!$A$6:$A$17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Calc!$D$6:$D$17</c:f>
              <c:numCache>
                <c:formatCode>0.0%</c:formatCode>
                <c:ptCount val="12"/>
                <c:pt idx="0">
                  <c:v>8.5950885208452316E-2</c:v>
                </c:pt>
                <c:pt idx="1">
                  <c:v>9.6774193548387094E-2</c:v>
                </c:pt>
                <c:pt idx="2">
                  <c:v>8.8235294117647065E-2</c:v>
                </c:pt>
                <c:pt idx="3">
                  <c:v>9.375E-2</c:v>
                </c:pt>
                <c:pt idx="4">
                  <c:v>8.1081081081081086E-2</c:v>
                </c:pt>
                <c:pt idx="5">
                  <c:v>8.6956521739130432E-2</c:v>
                </c:pt>
                <c:pt idx="6">
                  <c:v>7.6923076923076927E-2</c:v>
                </c:pt>
                <c:pt idx="7">
                  <c:v>8.1632653061224483E-2</c:v>
                </c:pt>
                <c:pt idx="8">
                  <c:v>7.6923076923076927E-2</c:v>
                </c:pt>
                <c:pt idx="9">
                  <c:v>7.8947368421052627E-2</c:v>
                </c:pt>
                <c:pt idx="10">
                  <c:v>7.3170731707317069E-2</c:v>
                </c:pt>
                <c:pt idx="11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92-5B45-8CCA-C25FE97B2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524127"/>
        <c:axId val="1324748943"/>
      </c:lineChart>
      <c:catAx>
        <c:axId val="145644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zh-CN"/>
          </a:p>
        </c:txPr>
        <c:crossAx val="1456276959"/>
        <c:crosses val="autoZero"/>
        <c:auto val="1"/>
        <c:lblAlgn val="ctr"/>
        <c:lblOffset val="100"/>
        <c:noMultiLvlLbl val="0"/>
      </c:catAx>
      <c:valAx>
        <c:axId val="1456276959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]#,##0.00_);[Red]\([$$]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zh-CN"/>
          </a:p>
        </c:txPr>
        <c:crossAx val="1456447903"/>
        <c:crosses val="autoZero"/>
        <c:crossBetween val="between"/>
      </c:valAx>
      <c:valAx>
        <c:axId val="1324748943"/>
        <c:scaling>
          <c:orientation val="minMax"/>
          <c:min val="-0.12000000000000001"/>
        </c:scaling>
        <c:delete val="0"/>
        <c:axPos val="r"/>
        <c:numFmt formatCode="0.0%" sourceLinked="1"/>
        <c:majorTickMark val="none"/>
        <c:minorTickMark val="none"/>
        <c:tickLblPos val="nextTo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zh-CN"/>
          </a:p>
        </c:txPr>
        <c:crossAx val="1324524127"/>
        <c:crosses val="max"/>
        <c:crossBetween val="between"/>
      </c:valAx>
      <c:catAx>
        <c:axId val="132452412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247489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800" b="1"/>
              <a:t>Call Volume</a:t>
            </a:r>
            <a:endParaRPr lang="zh-CN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Calc!$B$19</c:f>
              <c:strCache>
                <c:ptCount val="1"/>
                <c:pt idx="0">
                  <c:v>Call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Calc!$A$20:$A$31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Calc!$B$20:$B$31</c:f>
              <c:numCache>
                <c:formatCode>General</c:formatCode>
                <c:ptCount val="12"/>
                <c:pt idx="0">
                  <c:v>493</c:v>
                </c:pt>
                <c:pt idx="1">
                  <c:v>440</c:v>
                </c:pt>
                <c:pt idx="2">
                  <c:v>470</c:v>
                </c:pt>
                <c:pt idx="3">
                  <c:v>460</c:v>
                </c:pt>
                <c:pt idx="4">
                  <c:v>510</c:v>
                </c:pt>
                <c:pt idx="5">
                  <c:v>620</c:v>
                </c:pt>
                <c:pt idx="6">
                  <c:v>690</c:v>
                </c:pt>
                <c:pt idx="7">
                  <c:v>660</c:v>
                </c:pt>
                <c:pt idx="8">
                  <c:v>530</c:v>
                </c:pt>
                <c:pt idx="9">
                  <c:v>520</c:v>
                </c:pt>
                <c:pt idx="10">
                  <c:v>550</c:v>
                </c:pt>
                <c:pt idx="11">
                  <c:v>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6-F346-A9EB-2C291F783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7245407"/>
        <c:axId val="1488709743"/>
      </c:barChart>
      <c:lineChart>
        <c:grouping val="standard"/>
        <c:varyColors val="0"/>
        <c:ser>
          <c:idx val="1"/>
          <c:order val="1"/>
          <c:tx>
            <c:strRef>
              <c:f>Calc!$D$19</c:f>
              <c:strCache>
                <c:ptCount val="1"/>
                <c:pt idx="0">
                  <c:v>YoY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Calc!$A$20:$A$31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Calc!$D$20:$D$31</c:f>
              <c:numCache>
                <c:formatCode>0.0%</c:formatCode>
                <c:ptCount val="12"/>
                <c:pt idx="0">
                  <c:v>9.0707964601769914E-2</c:v>
                </c:pt>
                <c:pt idx="1">
                  <c:v>0.1</c:v>
                </c:pt>
                <c:pt idx="2">
                  <c:v>9.3023255813953487E-2</c:v>
                </c:pt>
                <c:pt idx="3">
                  <c:v>9.5238095238095233E-2</c:v>
                </c:pt>
                <c:pt idx="4">
                  <c:v>8.5106382978723402E-2</c:v>
                </c:pt>
                <c:pt idx="5">
                  <c:v>8.771929824561403E-2</c:v>
                </c:pt>
                <c:pt idx="6">
                  <c:v>7.8125E-2</c:v>
                </c:pt>
                <c:pt idx="7">
                  <c:v>8.1967213114754092E-2</c:v>
                </c:pt>
                <c:pt idx="8">
                  <c:v>8.1632653061224483E-2</c:v>
                </c:pt>
                <c:pt idx="9">
                  <c:v>8.3333333333333329E-2</c:v>
                </c:pt>
                <c:pt idx="10">
                  <c:v>7.8431372549019607E-2</c:v>
                </c:pt>
                <c:pt idx="11">
                  <c:v>8.1967213114754092E-2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6-F346-A9EB-2C291F783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922143"/>
        <c:axId val="1455936671"/>
      </c:lineChart>
      <c:catAx>
        <c:axId val="145724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zh-CN"/>
          </a:p>
        </c:txPr>
        <c:crossAx val="1488709743"/>
        <c:crosses val="autoZero"/>
        <c:auto val="1"/>
        <c:lblAlgn val="ctr"/>
        <c:lblOffset val="100"/>
        <c:noMultiLvlLbl val="0"/>
      </c:catAx>
      <c:valAx>
        <c:axId val="1488709743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zh-CN"/>
          </a:p>
        </c:txPr>
        <c:crossAx val="1457245407"/>
        <c:crosses val="autoZero"/>
        <c:crossBetween val="between"/>
      </c:valAx>
      <c:valAx>
        <c:axId val="1455936671"/>
        <c:scaling>
          <c:orientation val="minMax"/>
          <c:min val="-0.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zh-CN"/>
          </a:p>
        </c:txPr>
        <c:crossAx val="1424922143"/>
        <c:crosses val="max"/>
        <c:crossBetween val="between"/>
      </c:valAx>
      <c:catAx>
        <c:axId val="142492214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559366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0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altLang="zh-CN" sz="1800" b="1" i="0" u="none" strike="noStrike" baseline="0"/>
              <a:t>Revenue Share by Department </a:t>
            </a:r>
            <a:endParaRPr lang="en-US" altLang="zh-CN" sz="1800" b="1"/>
          </a:p>
        </c:rich>
      </c:tx>
      <c:layout>
        <c:manualLayout>
          <c:xMode val="edge"/>
          <c:yMode val="edge"/>
          <c:x val="0.13705841998219873"/>
          <c:y val="2.6388315539224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Calc!$B$89</c:f>
              <c:strCache>
                <c:ptCount val="1"/>
                <c:pt idx="0">
                  <c:v>Revenue Share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AC-0344-A42D-8D82FAA84A4E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AC-0344-A42D-8D82FAA84A4E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AC-0344-A42D-8D82FAA84A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Calc!$A$90:$A$92</c:f>
              <c:strCache>
                <c:ptCount val="3"/>
                <c:pt idx="0">
                  <c:v>Plumbing</c:v>
                </c:pt>
                <c:pt idx="1">
                  <c:v>HVAC</c:v>
                </c:pt>
                <c:pt idx="2">
                  <c:v>Electrical</c:v>
                </c:pt>
              </c:strCache>
            </c:strRef>
          </c:cat>
          <c:val>
            <c:numRef>
              <c:f>Calc!$B$90:$B$92</c:f>
              <c:numCache>
                <c:formatCode>General</c:formatCode>
                <c:ptCount val="3"/>
                <c:pt idx="0">
                  <c:v>326503</c:v>
                </c:pt>
                <c:pt idx="1">
                  <c:v>308500</c:v>
                </c:pt>
                <c:pt idx="2">
                  <c:v>179500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AC-0344-A42D-8D82FAA84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altLang="zh-CN" sz="1800" b="1" i="0" u="none" strike="noStrike" baseline="0"/>
              <a:t>Plumbing Revenue</a:t>
            </a:r>
            <a:endParaRPr lang="zh-CN" alt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Calc!$B$33</c:f>
              <c:strCache>
                <c:ptCount val="1"/>
                <c:pt idx="0">
                  <c:v>Plumbing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Calc!$A$34:$A$45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Calc!$B$34:$B$45</c:f>
              <c:numCache>
                <c:formatCode>General</c:formatCode>
                <c:ptCount val="12"/>
                <c:pt idx="0">
                  <c:v>26003</c:v>
                </c:pt>
                <c:pt idx="1">
                  <c:v>23000</c:v>
                </c:pt>
                <c:pt idx="2">
                  <c:v>25000</c:v>
                </c:pt>
                <c:pt idx="3">
                  <c:v>24500</c:v>
                </c:pt>
                <c:pt idx="4">
                  <c:v>27000</c:v>
                </c:pt>
                <c:pt idx="5">
                  <c:v>30000</c:v>
                </c:pt>
                <c:pt idx="6">
                  <c:v>32000</c:v>
                </c:pt>
                <c:pt idx="7">
                  <c:v>31000</c:v>
                </c:pt>
                <c:pt idx="8">
                  <c:v>27500</c:v>
                </c:pt>
                <c:pt idx="9">
                  <c:v>26000</c:v>
                </c:pt>
                <c:pt idx="10">
                  <c:v>25500</c:v>
                </c:pt>
                <c:pt idx="11">
                  <c:v>29000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11-584F-BF38-ED49FC56B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6609183"/>
        <c:axId val="1486610831"/>
      </c:barChart>
      <c:lineChart>
        <c:grouping val="standard"/>
        <c:varyColors val="0"/>
        <c:ser>
          <c:idx val="1"/>
          <c:order val="1"/>
          <c:tx>
            <c:strRef>
              <c:f>Calc!$D$33</c:f>
              <c:strCache>
                <c:ptCount val="1"/>
                <c:pt idx="0">
                  <c:v>YoY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Calc!$A$34:$A$45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Calc!$D$34:$D$45</c:f>
              <c:numCache>
                <c:formatCode>0.0%</c:formatCode>
                <c:ptCount val="12"/>
                <c:pt idx="0">
                  <c:v>8.3368052662278147E-2</c:v>
                </c:pt>
                <c:pt idx="1">
                  <c:v>9.5238095238095233E-2</c:v>
                </c:pt>
                <c:pt idx="2">
                  <c:v>8.6956521739130432E-2</c:v>
                </c:pt>
                <c:pt idx="3">
                  <c:v>8.8888888888888892E-2</c:v>
                </c:pt>
                <c:pt idx="4">
                  <c:v>0.08</c:v>
                </c:pt>
                <c:pt idx="5">
                  <c:v>9.0909090909090912E-2</c:v>
                </c:pt>
                <c:pt idx="6">
                  <c:v>8.4745762711864403E-2</c:v>
                </c:pt>
                <c:pt idx="7">
                  <c:v>8.771929824561403E-2</c:v>
                </c:pt>
                <c:pt idx="8">
                  <c:v>7.8431372549019607E-2</c:v>
                </c:pt>
                <c:pt idx="9">
                  <c:v>8.3333333333333329E-2</c:v>
                </c:pt>
                <c:pt idx="10">
                  <c:v>8.5106382978723402E-2</c:v>
                </c:pt>
                <c:pt idx="11">
                  <c:v>9.4339622641509441E-2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1-584F-BF38-ED49FC56B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253775"/>
        <c:axId val="1453066063"/>
      </c:lineChart>
      <c:catAx>
        <c:axId val="1486609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6610831"/>
        <c:crosses val="autoZero"/>
        <c:auto val="1"/>
        <c:lblAlgn val="ctr"/>
        <c:lblOffset val="100"/>
        <c:noMultiLvlLbl val="0"/>
      </c:catAx>
      <c:valAx>
        <c:axId val="1486610831"/>
        <c:scaling>
          <c:orientation val="minMax"/>
          <c:max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6609183"/>
        <c:crosses val="autoZero"/>
        <c:crossBetween val="between"/>
      </c:valAx>
      <c:valAx>
        <c:axId val="1453066063"/>
        <c:scaling>
          <c:orientation val="minMax"/>
          <c:min val="-0.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3253775"/>
        <c:crosses val="max"/>
        <c:crossBetween val="between"/>
      </c:valAx>
      <c:catAx>
        <c:axId val="14832537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530660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altLang="zh-CN" sz="1800" b="1" i="0" u="none" strike="noStrike" baseline="0"/>
              <a:t>HVAC Revenue</a:t>
            </a:r>
            <a:endParaRPr lang="zh-CN" alt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Calc!$B$47</c:f>
              <c:strCache>
                <c:ptCount val="1"/>
                <c:pt idx="0">
                  <c:v>HVAC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Calc!$A$48:$A$59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Calc!$B$48:$B$59</c:f>
              <c:numCache>
                <c:formatCode>General</c:formatCode>
                <c:ptCount val="12"/>
                <c:pt idx="0">
                  <c:v>30000</c:v>
                </c:pt>
                <c:pt idx="1">
                  <c:v>26000</c:v>
                </c:pt>
                <c:pt idx="2">
                  <c:v>22500</c:v>
                </c:pt>
                <c:pt idx="3">
                  <c:v>19000</c:v>
                </c:pt>
                <c:pt idx="4">
                  <c:v>18000</c:v>
                </c:pt>
                <c:pt idx="5">
                  <c:v>24000</c:v>
                </c:pt>
                <c:pt idx="6">
                  <c:v>32500</c:v>
                </c:pt>
                <c:pt idx="7">
                  <c:v>31500</c:v>
                </c:pt>
                <c:pt idx="8">
                  <c:v>24000</c:v>
                </c:pt>
                <c:pt idx="9">
                  <c:v>21000</c:v>
                </c:pt>
                <c:pt idx="10">
                  <c:v>26000</c:v>
                </c:pt>
                <c:pt idx="11">
                  <c:v>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DA-4F47-9837-135EC90FF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2606911"/>
        <c:axId val="1483254447"/>
      </c:barChart>
      <c:lineChart>
        <c:grouping val="standard"/>
        <c:varyColors val="0"/>
        <c:ser>
          <c:idx val="1"/>
          <c:order val="1"/>
          <c:tx>
            <c:strRef>
              <c:f>Calc!$D$47</c:f>
              <c:strCache>
                <c:ptCount val="1"/>
                <c:pt idx="0">
                  <c:v>YoY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Calc!$A$48:$A$59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Calc!$D$48:$D$59</c:f>
              <c:numCache>
                <c:formatCode>0.0%</c:formatCode>
                <c:ptCount val="12"/>
                <c:pt idx="0">
                  <c:v>7.1428571428571425E-2</c:v>
                </c:pt>
                <c:pt idx="1">
                  <c:v>8.3333333333333329E-2</c:v>
                </c:pt>
                <c:pt idx="2">
                  <c:v>7.1428571428571425E-2</c:v>
                </c:pt>
                <c:pt idx="3">
                  <c:v>8.5714285714285715E-2</c:v>
                </c:pt>
                <c:pt idx="4">
                  <c:v>9.0909090909090912E-2</c:v>
                </c:pt>
                <c:pt idx="5">
                  <c:v>9.0909090909090912E-2</c:v>
                </c:pt>
                <c:pt idx="6">
                  <c:v>8.3333333333333329E-2</c:v>
                </c:pt>
                <c:pt idx="7">
                  <c:v>8.6206896551724144E-2</c:v>
                </c:pt>
                <c:pt idx="8">
                  <c:v>9.0909090909090912E-2</c:v>
                </c:pt>
                <c:pt idx="9">
                  <c:v>7.6923076923076927E-2</c:v>
                </c:pt>
                <c:pt idx="10">
                  <c:v>8.3333333333333329E-2</c:v>
                </c:pt>
                <c:pt idx="11">
                  <c:v>7.9365079365079361E-2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DA-4F47-9837-135EC90FF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7231423"/>
        <c:axId val="1457464143"/>
      </c:lineChart>
      <c:catAx>
        <c:axId val="1442606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3254447"/>
        <c:crosses val="autoZero"/>
        <c:auto val="1"/>
        <c:lblAlgn val="ctr"/>
        <c:lblOffset val="100"/>
        <c:noMultiLvlLbl val="0"/>
      </c:catAx>
      <c:valAx>
        <c:axId val="1483254447"/>
        <c:scaling>
          <c:orientation val="minMax"/>
          <c:max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2606911"/>
        <c:crosses val="autoZero"/>
        <c:crossBetween val="between"/>
      </c:valAx>
      <c:valAx>
        <c:axId val="1457464143"/>
        <c:scaling>
          <c:orientation val="minMax"/>
          <c:min val="-0.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7231423"/>
        <c:crosses val="max"/>
        <c:crossBetween val="between"/>
      </c:valAx>
      <c:catAx>
        <c:axId val="145723142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57464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altLang="zh-CN" sz="1800" b="1" i="0" u="none" strike="noStrike" baseline="0"/>
              <a:t>Electrical Revenue</a:t>
            </a:r>
            <a:endParaRPr lang="zh-CN" alt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Calc!$B$61</c:f>
              <c:strCache>
                <c:ptCount val="1"/>
                <c:pt idx="0">
                  <c:v>Electrical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Calc!$A$62:$A$73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Calc!$B$62:$B$73</c:f>
              <c:numCache>
                <c:formatCode>General</c:formatCode>
                <c:ptCount val="12"/>
                <c:pt idx="0">
                  <c:v>14000</c:v>
                </c:pt>
                <c:pt idx="1">
                  <c:v>13000</c:v>
                </c:pt>
                <c:pt idx="2">
                  <c:v>13500</c:v>
                </c:pt>
                <c:pt idx="3">
                  <c:v>14000</c:v>
                </c:pt>
                <c:pt idx="4">
                  <c:v>15000</c:v>
                </c:pt>
                <c:pt idx="5">
                  <c:v>16000</c:v>
                </c:pt>
                <c:pt idx="6">
                  <c:v>17000</c:v>
                </c:pt>
                <c:pt idx="7">
                  <c:v>16500</c:v>
                </c:pt>
                <c:pt idx="8">
                  <c:v>15500</c:v>
                </c:pt>
                <c:pt idx="9">
                  <c:v>14500</c:v>
                </c:pt>
                <c:pt idx="10">
                  <c:v>14500</c:v>
                </c:pt>
                <c:pt idx="11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2-8C4B-9430-AA5389B41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5278287"/>
        <c:axId val="1439597407"/>
      </c:barChart>
      <c:lineChart>
        <c:grouping val="standard"/>
        <c:varyColors val="0"/>
        <c:ser>
          <c:idx val="1"/>
          <c:order val="1"/>
          <c:tx>
            <c:strRef>
              <c:f>Calc!$D$61</c:f>
              <c:strCache>
                <c:ptCount val="1"/>
                <c:pt idx="0">
                  <c:v>YoY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Calc!$A$62:$A$73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Calc!$D$62:$D$73</c:f>
              <c:numCache>
                <c:formatCode>0.0%</c:formatCode>
                <c:ptCount val="12"/>
                <c:pt idx="0">
                  <c:v>7.6923076923076927E-2</c:v>
                </c:pt>
                <c:pt idx="1">
                  <c:v>8.3333333333333329E-2</c:v>
                </c:pt>
                <c:pt idx="2">
                  <c:v>0.08</c:v>
                </c:pt>
                <c:pt idx="3">
                  <c:v>7.6923076923076927E-2</c:v>
                </c:pt>
                <c:pt idx="4">
                  <c:v>7.1428571428571425E-2</c:v>
                </c:pt>
                <c:pt idx="5">
                  <c:v>6.6666666666666666E-2</c:v>
                </c:pt>
                <c:pt idx="6">
                  <c:v>6.25E-2</c:v>
                </c:pt>
                <c:pt idx="7">
                  <c:v>6.4516129032258063E-2</c:v>
                </c:pt>
                <c:pt idx="8">
                  <c:v>6.8965517241379309E-2</c:v>
                </c:pt>
                <c:pt idx="9">
                  <c:v>7.407407407407407E-2</c:v>
                </c:pt>
                <c:pt idx="10">
                  <c:v>7.407407407407407E-2</c:v>
                </c:pt>
                <c:pt idx="11">
                  <c:v>6.6666666666666666E-2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52-8C4B-9430-AA5389B41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675727"/>
        <c:axId val="1473752031"/>
      </c:lineChart>
      <c:catAx>
        <c:axId val="148527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39597407"/>
        <c:crosses val="autoZero"/>
        <c:auto val="1"/>
        <c:lblAlgn val="ctr"/>
        <c:lblOffset val="100"/>
        <c:noMultiLvlLbl val="0"/>
      </c:catAx>
      <c:valAx>
        <c:axId val="1439597407"/>
        <c:scaling>
          <c:orientation val="minMax"/>
          <c:max val="3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5278287"/>
        <c:crosses val="autoZero"/>
        <c:crossBetween val="between"/>
      </c:valAx>
      <c:valAx>
        <c:axId val="1473752031"/>
        <c:scaling>
          <c:orientation val="minMax"/>
          <c:min val="-0.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53675727"/>
        <c:crosses val="max"/>
        <c:crossBetween val="between"/>
      </c:valAx>
      <c:catAx>
        <c:axId val="145367572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3752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Calc!$B$7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711200</xdr:colOff>
      <xdr:row>27</xdr:row>
      <xdr:rowOff>88900</xdr:rowOff>
    </xdr:from>
    <xdr:to>
      <xdr:col>14</xdr:col>
      <xdr:colOff>355600</xdr:colOff>
      <xdr:row>44</xdr:row>
      <xdr:rowOff>114300</xdr:rowOff>
    </xdr:to>
    <xdr:graphicFrame macro="">
      <xdr:nvGraphicFramePr>
        <xdr:cNvPr id="47" name="图表 46">
          <a:extLst>
            <a:ext uri="{FF2B5EF4-FFF2-40B4-BE49-F238E27FC236}">
              <a16:creationId xmlns:a16="http://schemas.microsoft.com/office/drawing/2014/main" id="{605DAB04-431A-FC40-9D4C-DF3A78F54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304800</xdr:colOff>
      <xdr:row>9</xdr:row>
      <xdr:rowOff>72415</xdr:rowOff>
    </xdr:from>
    <xdr:to>
      <xdr:col>14</xdr:col>
      <xdr:colOff>342900</xdr:colOff>
      <xdr:row>26</xdr:row>
      <xdr:rowOff>177800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211666</xdr:colOff>
      <xdr:row>9</xdr:row>
      <xdr:rowOff>78540</xdr:rowOff>
    </xdr:from>
    <xdr:to>
      <xdr:col>7</xdr:col>
      <xdr:colOff>50800</xdr:colOff>
      <xdr:row>27</xdr:row>
      <xdr:rowOff>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186266</xdr:colOff>
      <xdr:row>3</xdr:row>
      <xdr:rowOff>41485</xdr:rowOff>
    </xdr:from>
    <xdr:to>
      <xdr:col>1</xdr:col>
      <xdr:colOff>444499</xdr:colOff>
      <xdr:row>8</xdr:row>
      <xdr:rowOff>165100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Year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266" y="612985"/>
              <a:ext cx="1083733" cy="10761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此形状代表切片器。Excel 2010 或更高版本支持切片器。
如果形状是在较早版本的 Excel 中修改，或者工作簿是在 Excel 2003 或更早版本中保存，则无法使用切片器。</a:t>
              </a:r>
            </a:p>
          </xdr:txBody>
        </xdr:sp>
      </mc:Fallback>
    </mc:AlternateContent>
    <xdr:clientData/>
  </xdr:twoCellAnchor>
  <xdr:twoCellAnchor>
    <xdr:from>
      <xdr:col>0</xdr:col>
      <xdr:colOff>198967</xdr:colOff>
      <xdr:row>27</xdr:row>
      <xdr:rowOff>105813</xdr:rowOff>
    </xdr:from>
    <xdr:to>
      <xdr:col>5</xdr:col>
      <xdr:colOff>381000</xdr:colOff>
      <xdr:row>44</xdr:row>
      <xdr:rowOff>139700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186267</xdr:colOff>
          <xdr:row>0</xdr:row>
          <xdr:rowOff>182033</xdr:rowOff>
        </xdr:from>
        <xdr:to>
          <xdr:col>1</xdr:col>
          <xdr:colOff>474134</xdr:colOff>
          <xdr:row>2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黑体" charset="-122"/>
                  <a:ea typeface="黑体" charset="-122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575733</xdr:colOff>
      <xdr:row>0</xdr:row>
      <xdr:rowOff>182033</xdr:rowOff>
    </xdr:from>
    <xdr:to>
      <xdr:col>5</xdr:col>
      <xdr:colOff>609600</xdr:colOff>
      <xdr:row>8</xdr:row>
      <xdr:rowOff>165100</xdr:rowOff>
    </xdr:to>
    <xdr:grpSp>
      <xdr:nvGrpSpPr>
        <xdr:cNvPr id="6" name="组合 5">
          <a:extLst>
            <a:ext uri="{FF2B5EF4-FFF2-40B4-BE49-F238E27FC236}">
              <a16:creationId xmlns:a16="http://schemas.microsoft.com/office/drawing/2014/main" id="{75634ED1-DB80-B248-BA78-6D3B64B3FE1D}"/>
            </a:ext>
          </a:extLst>
        </xdr:cNvPr>
        <xdr:cNvGrpSpPr/>
      </xdr:nvGrpSpPr>
      <xdr:grpSpPr>
        <a:xfrm>
          <a:off x="1401233" y="182033"/>
          <a:ext cx="3335867" cy="1507067"/>
          <a:chOff x="1574799" y="135467"/>
          <a:chExt cx="4114800" cy="2743200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2B4F1F68-C37A-5247-BDA1-F89EEFA5FE63}"/>
              </a:ext>
            </a:extLst>
          </xdr:cNvPr>
          <xdr:cNvSpPr/>
        </xdr:nvSpPr>
        <xdr:spPr>
          <a:xfrm>
            <a:off x="1574799" y="135467"/>
            <a:ext cx="4114800" cy="2743200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Total_Revenue">
        <xdr:nvSpPr>
          <xdr:cNvPr id="5" name="文本框 4">
            <a:extLst>
              <a:ext uri="{FF2B5EF4-FFF2-40B4-BE49-F238E27FC236}">
                <a16:creationId xmlns:a16="http://schemas.microsoft.com/office/drawing/2014/main" id="{22D66FEB-E5E7-7649-822A-BF8C69273955}"/>
              </a:ext>
            </a:extLst>
          </xdr:cNvPr>
          <xdr:cNvSpPr txBox="1"/>
        </xdr:nvSpPr>
        <xdr:spPr>
          <a:xfrm>
            <a:off x="2489200" y="1096101"/>
            <a:ext cx="2116667" cy="6434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DA20CB85-929B-A340-ABB3-15F7AFB446F3}" type="TxLink">
              <a:rPr lang="en-US" altLang="en-US" sz="2400" b="1" i="0" u="none" strike="noStrike">
                <a:solidFill>
                  <a:srgbClr val="FF0000"/>
                </a:solidFill>
                <a:latin typeface="+mn-lt"/>
                <a:ea typeface="黑体"/>
              </a:rPr>
              <a:pPr algn="ctr"/>
              <a:t>$814,503 </a:t>
            </a:fld>
            <a:endParaRPr lang="zh-CN" altLang="en-US" sz="2400" b="1">
              <a:solidFill>
                <a:srgbClr val="FF0000"/>
              </a:solidFill>
              <a:latin typeface="+mn-lt"/>
            </a:endParaRPr>
          </a:p>
        </xdr:txBody>
      </xdr:sp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D4D469C9-A19B-9C42-88AC-18D0320B6476}"/>
              </a:ext>
            </a:extLst>
          </xdr:cNvPr>
          <xdr:cNvSpPr txBox="1"/>
        </xdr:nvSpPr>
        <xdr:spPr>
          <a:xfrm>
            <a:off x="2533468" y="168619"/>
            <a:ext cx="2033913" cy="721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altLang="zh-CN" sz="1800" b="1">
                <a:latin typeface="+mn-lt"/>
              </a:rPr>
              <a:t>Total Revenue</a:t>
            </a:r>
            <a:endParaRPr lang="zh-CN" altLang="en-US" sz="1800" b="1">
              <a:latin typeface="+mn-lt"/>
            </a:endParaRPr>
          </a:p>
        </xdr:txBody>
      </xdr:sp>
      <xdr:sp macro="" textlink="Calc!D95">
        <xdr:nvSpPr>
          <xdr:cNvPr id="17" name="文本框 16">
            <a:extLst>
              <a:ext uri="{FF2B5EF4-FFF2-40B4-BE49-F238E27FC236}">
                <a16:creationId xmlns:a16="http://schemas.microsoft.com/office/drawing/2014/main" id="{CE90A5E4-F141-2641-A9BA-274BC7D29875}"/>
              </a:ext>
            </a:extLst>
          </xdr:cNvPr>
          <xdr:cNvSpPr txBox="1"/>
        </xdr:nvSpPr>
        <xdr:spPr>
          <a:xfrm>
            <a:off x="2415370" y="1864283"/>
            <a:ext cx="2116667" cy="6434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de-DE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(</a:t>
            </a:r>
            <a:fld id="{6C9DA0C9-58C2-F24B-954A-BA97DC6F2212}" type="TxLink">
              <a:rPr lang="en-US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+8.2%</a:t>
            </a:fld>
            <a:r>
              <a:rPr lang="en-US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)</a:t>
            </a:r>
          </a:p>
        </xdr:txBody>
      </xdr:sp>
    </xdr:grpSp>
    <xdr:clientData/>
  </xdr:twoCellAnchor>
  <xdr:twoCellAnchor>
    <xdr:from>
      <xdr:col>6</xdr:col>
      <xdr:colOff>67733</xdr:colOff>
      <xdr:row>0</xdr:row>
      <xdr:rowOff>169333</xdr:rowOff>
    </xdr:from>
    <xdr:to>
      <xdr:col>10</xdr:col>
      <xdr:colOff>63500</xdr:colOff>
      <xdr:row>8</xdr:row>
      <xdr:rowOff>152400</xdr:rowOff>
    </xdr:to>
    <xdr:grpSp>
      <xdr:nvGrpSpPr>
        <xdr:cNvPr id="37" name="组合 36">
          <a:extLst>
            <a:ext uri="{FF2B5EF4-FFF2-40B4-BE49-F238E27FC236}">
              <a16:creationId xmlns:a16="http://schemas.microsoft.com/office/drawing/2014/main" id="{CECA9C39-9E29-414C-A0C1-A90A045FD007}"/>
            </a:ext>
          </a:extLst>
        </xdr:cNvPr>
        <xdr:cNvGrpSpPr/>
      </xdr:nvGrpSpPr>
      <xdr:grpSpPr>
        <a:xfrm>
          <a:off x="5020733" y="169333"/>
          <a:ext cx="3297767" cy="1507067"/>
          <a:chOff x="1574799" y="135467"/>
          <a:chExt cx="4114800" cy="2743200"/>
        </a:xfrm>
      </xdr:grpSpPr>
      <xdr:sp macro="" textlink="">
        <xdr:nvSpPr>
          <xdr:cNvPr id="38" name="矩形 37">
            <a:extLst>
              <a:ext uri="{FF2B5EF4-FFF2-40B4-BE49-F238E27FC236}">
                <a16:creationId xmlns:a16="http://schemas.microsoft.com/office/drawing/2014/main" id="{66A4D182-000F-8347-A508-BF42484017B9}"/>
              </a:ext>
            </a:extLst>
          </xdr:cNvPr>
          <xdr:cNvSpPr/>
        </xdr:nvSpPr>
        <xdr:spPr>
          <a:xfrm>
            <a:off x="1574799" y="135467"/>
            <a:ext cx="4114800" cy="2743200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ToTal_Call_Volume">
        <xdr:nvSpPr>
          <xdr:cNvPr id="39" name="文本框 38">
            <a:extLst>
              <a:ext uri="{FF2B5EF4-FFF2-40B4-BE49-F238E27FC236}">
                <a16:creationId xmlns:a16="http://schemas.microsoft.com/office/drawing/2014/main" id="{C6568CB6-7E62-624D-85E3-D1A6EA35A34C}"/>
              </a:ext>
            </a:extLst>
          </xdr:cNvPr>
          <xdr:cNvSpPr txBox="1"/>
        </xdr:nvSpPr>
        <xdr:spPr>
          <a:xfrm>
            <a:off x="2573865" y="1096101"/>
            <a:ext cx="2116667" cy="6434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1F2839F3-87B9-CA48-A426-1B7E29E2C4EF}" type="TxLink">
              <a:rPr lang="en-US" altLang="en-US" sz="2400" b="1" i="0" u="none" strike="noStrike">
                <a:solidFill>
                  <a:srgbClr val="FF0000"/>
                </a:solidFill>
                <a:latin typeface="+mn-lt"/>
                <a:ea typeface="黑体"/>
              </a:rPr>
              <a:t>6603</a:t>
            </a:fld>
            <a:endParaRPr lang="zh-CN" altLang="en-US" sz="2400" b="1">
              <a:solidFill>
                <a:srgbClr val="FF0000"/>
              </a:solidFill>
              <a:latin typeface="+mn-lt"/>
            </a:endParaRPr>
          </a:p>
        </xdr:txBody>
      </xdr:sp>
      <xdr:sp macro="" textlink="">
        <xdr:nvSpPr>
          <xdr:cNvPr id="40" name="文本框 39">
            <a:extLst>
              <a:ext uri="{FF2B5EF4-FFF2-40B4-BE49-F238E27FC236}">
                <a16:creationId xmlns:a16="http://schemas.microsoft.com/office/drawing/2014/main" id="{C66977BB-CC98-DE46-9810-679B7F807256}"/>
              </a:ext>
            </a:extLst>
          </xdr:cNvPr>
          <xdr:cNvSpPr txBox="1"/>
        </xdr:nvSpPr>
        <xdr:spPr>
          <a:xfrm>
            <a:off x="2615242" y="168619"/>
            <a:ext cx="2503884" cy="721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altLang="zh-CN" sz="1800" b="1">
                <a:latin typeface="+mn-lt"/>
              </a:rPr>
              <a:t>Total Call Volune</a:t>
            </a:r>
            <a:endParaRPr lang="zh-CN" altLang="en-US" sz="1800" b="1">
              <a:latin typeface="+mn-lt"/>
            </a:endParaRPr>
          </a:p>
        </xdr:txBody>
      </xdr:sp>
      <xdr:sp macro="" textlink="Calc!D96">
        <xdr:nvSpPr>
          <xdr:cNvPr id="41" name="文本框 40">
            <a:extLst>
              <a:ext uri="{FF2B5EF4-FFF2-40B4-BE49-F238E27FC236}">
                <a16:creationId xmlns:a16="http://schemas.microsoft.com/office/drawing/2014/main" id="{C201C2FD-6D08-DB4F-ADE9-52FF72AB6DEF}"/>
              </a:ext>
            </a:extLst>
          </xdr:cNvPr>
          <xdr:cNvSpPr txBox="1"/>
        </xdr:nvSpPr>
        <xdr:spPr>
          <a:xfrm>
            <a:off x="2573865" y="1887400"/>
            <a:ext cx="2116667" cy="6434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(</a:t>
            </a:r>
            <a:fld id="{3F9E94E0-4F0B-BB47-9CD6-9E31D6CD423E}" type="TxLink">
              <a:rPr lang="en-US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+8.3%</a:t>
            </a:fld>
            <a:r>
              <a:rPr lang="en-US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)</a:t>
            </a:r>
          </a:p>
        </xdr:txBody>
      </xdr:sp>
    </xdr:grpSp>
    <xdr:clientData/>
  </xdr:twoCellAnchor>
  <xdr:twoCellAnchor>
    <xdr:from>
      <xdr:col>10</xdr:col>
      <xdr:colOff>321733</xdr:colOff>
      <xdr:row>0</xdr:row>
      <xdr:rowOff>156633</xdr:rowOff>
    </xdr:from>
    <xdr:to>
      <xdr:col>14</xdr:col>
      <xdr:colOff>368300</xdr:colOff>
      <xdr:row>8</xdr:row>
      <xdr:rowOff>139700</xdr:rowOff>
    </xdr:to>
    <xdr:grpSp>
      <xdr:nvGrpSpPr>
        <xdr:cNvPr id="42" name="组合 41">
          <a:extLst>
            <a:ext uri="{FF2B5EF4-FFF2-40B4-BE49-F238E27FC236}">
              <a16:creationId xmlns:a16="http://schemas.microsoft.com/office/drawing/2014/main" id="{2A7E1896-EA67-E84C-8376-A2F8E2F4ECB1}"/>
            </a:ext>
          </a:extLst>
        </xdr:cNvPr>
        <xdr:cNvGrpSpPr/>
      </xdr:nvGrpSpPr>
      <xdr:grpSpPr>
        <a:xfrm>
          <a:off x="8576733" y="156633"/>
          <a:ext cx="3348567" cy="1507067"/>
          <a:chOff x="1574799" y="135467"/>
          <a:chExt cx="4114800" cy="2743200"/>
        </a:xfrm>
      </xdr:grpSpPr>
      <xdr:sp macro="" textlink="">
        <xdr:nvSpPr>
          <xdr:cNvPr id="43" name="矩形 42">
            <a:extLst>
              <a:ext uri="{FF2B5EF4-FFF2-40B4-BE49-F238E27FC236}">
                <a16:creationId xmlns:a16="http://schemas.microsoft.com/office/drawing/2014/main" id="{B7C6C0D5-8F97-F44F-B535-D137A48CC4D9}"/>
              </a:ext>
            </a:extLst>
          </xdr:cNvPr>
          <xdr:cNvSpPr/>
        </xdr:nvSpPr>
        <xdr:spPr>
          <a:xfrm>
            <a:off x="1574799" y="135467"/>
            <a:ext cx="4114800" cy="2743200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Total_Marketing_Cost">
        <xdr:nvSpPr>
          <xdr:cNvPr id="44" name="文本框 43">
            <a:extLst>
              <a:ext uri="{FF2B5EF4-FFF2-40B4-BE49-F238E27FC236}">
                <a16:creationId xmlns:a16="http://schemas.microsoft.com/office/drawing/2014/main" id="{632261C0-395E-BE40-A51F-BB417D523877}"/>
              </a:ext>
            </a:extLst>
          </xdr:cNvPr>
          <xdr:cNvSpPr txBox="1"/>
        </xdr:nvSpPr>
        <xdr:spPr>
          <a:xfrm>
            <a:off x="2573865" y="1096101"/>
            <a:ext cx="2116667" cy="6434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D4C516BF-3DF9-9D4A-9368-7453B8AB09D8}" type="TxLink">
              <a:rPr lang="en-US" altLang="en-US" sz="2400" b="1" i="0" u="none" strike="noStrike">
                <a:solidFill>
                  <a:srgbClr val="FF0000"/>
                </a:solidFill>
                <a:latin typeface="+mn-lt"/>
                <a:ea typeface="黑体"/>
              </a:rPr>
              <a:t>$52,403 </a:t>
            </a:fld>
            <a:endParaRPr lang="zh-CN" altLang="en-US" sz="2400" b="1">
              <a:solidFill>
                <a:srgbClr val="FF0000"/>
              </a:solidFill>
              <a:latin typeface="+mn-lt"/>
            </a:endParaRPr>
          </a:p>
        </xdr:txBody>
      </xdr:sp>
      <xdr:sp macro="" textlink="">
        <xdr:nvSpPr>
          <xdr:cNvPr id="45" name="文本框 44">
            <a:extLst>
              <a:ext uri="{FF2B5EF4-FFF2-40B4-BE49-F238E27FC236}">
                <a16:creationId xmlns:a16="http://schemas.microsoft.com/office/drawing/2014/main" id="{C513EA40-B968-6E4C-959D-B1D3378A1CDA}"/>
              </a:ext>
            </a:extLst>
          </xdr:cNvPr>
          <xdr:cNvSpPr txBox="1"/>
        </xdr:nvSpPr>
        <xdr:spPr>
          <a:xfrm>
            <a:off x="2053385" y="168619"/>
            <a:ext cx="2980759" cy="721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altLang="zh-CN" sz="1800" b="1">
                <a:latin typeface="+mn-lt"/>
              </a:rPr>
              <a:t>Total Marketing Cost</a:t>
            </a:r>
            <a:endParaRPr lang="zh-CN" altLang="en-US" sz="1800" b="1">
              <a:latin typeface="+mn-lt"/>
            </a:endParaRPr>
          </a:p>
        </xdr:txBody>
      </xdr:sp>
      <xdr:sp macro="" textlink="Calc!D97">
        <xdr:nvSpPr>
          <xdr:cNvPr id="46" name="文本框 45">
            <a:extLst>
              <a:ext uri="{FF2B5EF4-FFF2-40B4-BE49-F238E27FC236}">
                <a16:creationId xmlns:a16="http://schemas.microsoft.com/office/drawing/2014/main" id="{174B128B-0945-2546-890C-34BD4B506857}"/>
              </a:ext>
            </a:extLst>
          </xdr:cNvPr>
          <xdr:cNvSpPr txBox="1"/>
        </xdr:nvSpPr>
        <xdr:spPr>
          <a:xfrm>
            <a:off x="2573865" y="1910517"/>
            <a:ext cx="2116667" cy="6434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(</a:t>
            </a:r>
            <a:fld id="{FD7A4C07-DC05-094A-BA91-05B5C8F88397}" type="TxLink">
              <a:rPr lang="en-US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+8.6%</a:t>
            </a:fld>
            <a:r>
              <a:rPr lang="en-US" altLang="en-US" sz="1800" b="1" i="0" u="none" strike="noStrike">
                <a:solidFill>
                  <a:srgbClr val="000000"/>
                </a:solidFill>
                <a:latin typeface="+mn-lt"/>
                <a:ea typeface="黑体"/>
              </a:rPr>
              <a:t>)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431800</xdr:colOff>
          <xdr:row>29</xdr:row>
          <xdr:rowOff>0</xdr:rowOff>
        </xdr:from>
        <xdr:to>
          <xdr:col>12</xdr:col>
          <xdr:colOff>749300</xdr:colOff>
          <xdr:row>31</xdr:row>
          <xdr:rowOff>114300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5DC8FEA-1FAD-A649-A25C-2488E1F91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Plumbing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520700</xdr:colOff>
          <xdr:row>28</xdr:row>
          <xdr:rowOff>177800</xdr:rowOff>
        </xdr:from>
        <xdr:to>
          <xdr:col>14</xdr:col>
          <xdr:colOff>12700</xdr:colOff>
          <xdr:row>31</xdr:row>
          <xdr:rowOff>114300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2A63F84-5D74-D941-B3B9-5C011D8EE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HVAC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444500</xdr:colOff>
          <xdr:row>28</xdr:row>
          <xdr:rowOff>177800</xdr:rowOff>
        </xdr:from>
        <xdr:to>
          <xdr:col>14</xdr:col>
          <xdr:colOff>762000</xdr:colOff>
          <xdr:row>31</xdr:row>
          <xdr:rowOff>101600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26956DE-1239-B442-8FFA-69EB25916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Electrical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776191</xdr:colOff>
      <xdr:row>32</xdr:row>
      <xdr:rowOff>22071</xdr:rowOff>
    </xdr:from>
    <xdr:to>
      <xdr:col>10</xdr:col>
      <xdr:colOff>898111</xdr:colOff>
      <xdr:row>51</xdr:row>
      <xdr:rowOff>60171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8138E21-740C-7442-AE4E-54CE32A43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787400</xdr:colOff>
      <xdr:row>58</xdr:row>
      <xdr:rowOff>189202</xdr:rowOff>
    </xdr:from>
    <xdr:to>
      <xdr:col>10</xdr:col>
      <xdr:colOff>807720</xdr:colOff>
      <xdr:row>76</xdr:row>
      <xdr:rowOff>189202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5B1EA17-FB7D-344E-B45C-9E900701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885038</xdr:colOff>
      <xdr:row>45</xdr:row>
      <xdr:rowOff>165100</xdr:rowOff>
    </xdr:from>
    <xdr:to>
      <xdr:col>10</xdr:col>
      <xdr:colOff>1006958</xdr:colOff>
      <xdr:row>65</xdr:row>
      <xdr:rowOff>12700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E5E9C43F-D063-FE4E-8E5E-EE856B108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8977484" cy="15993417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ABBA79-E2E1-0148-B268-E190F03AA17A}"/>
            </a:ext>
          </a:extLst>
        </xdr:cNvPr>
        <xdr:cNvSpPr txBox="1"/>
      </xdr:nvSpPr>
      <xdr:spPr>
        <a:xfrm>
          <a:off x="0" y="0"/>
          <a:ext cx="28977484" cy="159934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altLang="zh-CN" b="1"/>
            <a:t>Excel </a:t>
          </a:r>
          <a:r>
            <a:rPr lang="zh-CN" altLang="en-US" b="1"/>
            <a:t>业务仪表盘（</a:t>
          </a:r>
          <a:r>
            <a:rPr lang="de-DE" altLang="zh-CN" b="1"/>
            <a:t>HVAC/Plumbing/Electrical </a:t>
          </a:r>
          <a:r>
            <a:rPr lang="zh-CN" altLang="en-US" b="1"/>
            <a:t>营销</a:t>
          </a:r>
          <a:r>
            <a:rPr lang="en-US" altLang="zh-CN" b="1"/>
            <a:t>&amp;</a:t>
          </a:r>
          <a:r>
            <a:rPr lang="zh-CN" altLang="en-US" b="1"/>
            <a:t>营收绩效看板）知识点总结</a:t>
          </a:r>
        </a:p>
        <a:p>
          <a:r>
            <a:rPr lang="zh-CN" altLang="en-US"/>
            <a:t>项目背景：为水管、暖通、电气维修服务商搭建</a:t>
          </a:r>
          <a:r>
            <a:rPr lang="zh-CN" altLang="en-US" b="1"/>
            <a:t>年度同比</a:t>
          </a:r>
          <a:r>
            <a:rPr lang="de-DE" altLang="zh-CN" b="1"/>
            <a:t>YoY</a:t>
          </a:r>
          <a:r>
            <a:rPr lang="zh-CN" altLang="en-US" b="1"/>
            <a:t>绩效仪表盘</a:t>
          </a:r>
          <a:r>
            <a:rPr lang="zh-CN" altLang="en-US"/>
            <a:t>，支持内部人员录入月度原始数据，一键切换年份、切换部门视图，自动生成</a:t>
          </a:r>
          <a:r>
            <a:rPr lang="de-DE" altLang="zh-CN"/>
            <a:t>KPI</a:t>
          </a:r>
          <a:r>
            <a:rPr lang="zh-CN" altLang="en-US"/>
            <a:t>卡片、多组图表。 项目文件：</a:t>
          </a:r>
          <a:r>
            <a:rPr lang="de-DE" altLang="zh-CN"/>
            <a:t>Excel </a:t>
          </a:r>
          <a:r>
            <a:rPr lang="zh-CN" altLang="en-US"/>
            <a:t>看板，用于</a:t>
          </a:r>
          <a:r>
            <a:rPr lang="de-DE" altLang="zh-CN"/>
            <a:t>Upwork</a:t>
          </a:r>
          <a:r>
            <a:rPr lang="zh-CN" altLang="en-US"/>
            <a:t>交付，可复用这套体系做其他业务分析看板。</a:t>
          </a:r>
        </a:p>
        <a:p>
          <a:r>
            <a:rPr lang="zh-CN" altLang="en-US" b="1"/>
            <a:t>一、用到的函数库（带本案例用途）</a:t>
          </a:r>
        </a:p>
        <a:p>
          <a:r>
            <a:rPr lang="en-US" altLang="zh-CN" b="1"/>
            <a:t>1. </a:t>
          </a:r>
          <a:r>
            <a:rPr lang="de-DE" altLang="zh-CN" b="1"/>
            <a:t>SUMIFS</a:t>
          </a:r>
        </a:p>
        <a:p>
          <a:r>
            <a:rPr lang="zh-CN" altLang="en-US" b="1"/>
            <a:t>作用</a:t>
          </a:r>
          <a:r>
            <a:rPr lang="zh-CN" altLang="en-US"/>
            <a:t>：多条件求和，支持按</a:t>
          </a:r>
          <a:r>
            <a:rPr lang="en-US" altLang="zh-CN"/>
            <a:t>【</a:t>
          </a:r>
          <a:r>
            <a:rPr lang="zh-CN" altLang="en-US"/>
            <a:t>年份、月份</a:t>
          </a:r>
          <a:r>
            <a:rPr lang="en-US" altLang="zh-CN"/>
            <a:t>】</a:t>
          </a:r>
          <a:r>
            <a:rPr lang="zh-CN" altLang="en-US"/>
            <a:t>筛选，汇总营销费用、来电量、分部门营收。</a:t>
          </a:r>
        </a:p>
        <a:p>
          <a:r>
            <a:rPr lang="zh-CN" altLang="en-US"/>
            <a:t>语法：</a:t>
          </a:r>
          <a:r>
            <a:rPr lang="de-DE" altLang="zh-CN"/>
            <a:t>SUMIFS(</a:t>
          </a:r>
          <a:r>
            <a:rPr lang="zh-CN" altLang="en-US"/>
            <a:t>求和区域</a:t>
          </a:r>
          <a:r>
            <a:rPr lang="en-US" altLang="zh-CN"/>
            <a:t>, </a:t>
          </a:r>
          <a:r>
            <a:rPr lang="zh-CN" altLang="en-US"/>
            <a:t>条件区域</a:t>
          </a:r>
          <a:r>
            <a:rPr lang="en-US" altLang="zh-CN"/>
            <a:t>1,</a:t>
          </a:r>
          <a:r>
            <a:rPr lang="zh-CN" altLang="en-US"/>
            <a:t>条件</a:t>
          </a:r>
          <a:r>
            <a:rPr lang="en-US" altLang="zh-CN"/>
            <a:t>1,</a:t>
          </a:r>
          <a:r>
            <a:rPr lang="zh-CN" altLang="en-US"/>
            <a:t>条件区域</a:t>
          </a:r>
          <a:r>
            <a:rPr lang="en-US" altLang="zh-CN"/>
            <a:t>2,</a:t>
          </a:r>
          <a:r>
            <a:rPr lang="zh-CN" altLang="en-US"/>
            <a:t>条件</a:t>
          </a:r>
          <a:r>
            <a:rPr lang="en-US" altLang="zh-CN"/>
            <a:t>2,...) </a:t>
          </a:r>
          <a:r>
            <a:rPr lang="zh-CN" altLang="en-US"/>
            <a:t>限制：原生</a:t>
          </a:r>
          <a:r>
            <a:rPr lang="de-DE" altLang="zh-CN"/>
            <a:t>sum_range</a:t>
          </a:r>
          <a:r>
            <a:rPr lang="zh-CN" altLang="en-US"/>
            <a:t>仅支持单列。 👉 本案例用法： ① 单部门月度营收：</a:t>
          </a:r>
          <a:r>
            <a:rPr lang="de-DE" altLang="zh-CN"/>
            <a:t>SUMIFS(tbl_RawData[Plumbing_Revenue], tbl_RawData[Year],$G$1,tbl_RawData[Month],A1) ② </a:t>
          </a:r>
          <a:r>
            <a:rPr lang="zh-CN" altLang="en-US"/>
            <a:t>多部门总营收：多个</a:t>
          </a:r>
          <a:r>
            <a:rPr lang="de-DE" altLang="zh-CN"/>
            <a:t>SUMIFS</a:t>
          </a:r>
          <a:r>
            <a:rPr lang="zh-CN" altLang="en-US"/>
            <a:t>相加 </a:t>
          </a:r>
          <a:r>
            <a:rPr lang="de-DE" altLang="zh-CN"/>
            <a:t>SUMIFS(plumbing)+SUMIFS(hvac)+SUMIFS(electrical)</a:t>
          </a:r>
          <a:r>
            <a:rPr lang="zh-CN" altLang="de-DE"/>
            <a:t>；</a:t>
          </a:r>
          <a:r>
            <a:rPr lang="zh-CN" altLang="en-US"/>
            <a:t>也可以在</a:t>
          </a:r>
          <a:r>
            <a:rPr lang="de-DE" altLang="zh-CN"/>
            <a:t>RawData</a:t>
          </a:r>
          <a:r>
            <a:rPr lang="zh-CN" altLang="en-US"/>
            <a:t>增加辅助列</a:t>
          </a:r>
          <a:r>
            <a:rPr lang="de-DE" altLang="zh-CN"/>
            <a:t>Total_Revenue</a:t>
          </a:r>
          <a:r>
            <a:rPr lang="zh-CN" altLang="de-DE"/>
            <a:t>，</a:t>
          </a:r>
          <a:r>
            <a:rPr lang="zh-CN" altLang="en-US"/>
            <a:t>只用一次</a:t>
          </a:r>
          <a:r>
            <a:rPr lang="de-DE" altLang="zh-CN"/>
            <a:t>SUMIFS</a:t>
          </a:r>
          <a:r>
            <a:rPr lang="zh-CN" altLang="de-DE"/>
            <a:t>。 </a:t>
          </a:r>
          <a:r>
            <a:rPr lang="zh-CN" altLang="en-US"/>
            <a:t>适用场景：</a:t>
          </a:r>
          <a:r>
            <a:rPr lang="de-DE" altLang="zh-CN"/>
            <a:t>KPI</a:t>
          </a:r>
          <a:r>
            <a:rPr lang="zh-CN" altLang="en-US"/>
            <a:t>卡片年度汇总、月度数据提取，切片器联动计算。</a:t>
          </a:r>
        </a:p>
        <a:p>
          <a:r>
            <a:rPr lang="en-US" altLang="zh-CN" b="1"/>
            <a:t>2. </a:t>
          </a:r>
          <a:r>
            <a:rPr lang="de-DE" altLang="zh-CN" b="1"/>
            <a:t>SUMPRODUCT</a:t>
          </a:r>
        </a:p>
        <a:p>
          <a:r>
            <a:rPr lang="zh-CN" altLang="en-US" b="1"/>
            <a:t>作用</a:t>
          </a:r>
          <a:r>
            <a:rPr lang="zh-CN" altLang="en-US"/>
            <a:t>：多条件数组运算，可跨多列做条件求和</a:t>
          </a:r>
          <a:r>
            <a:rPr lang="en-US" altLang="zh-CN"/>
            <a:t>/</a:t>
          </a:r>
          <a:r>
            <a:rPr lang="zh-CN" altLang="en-US"/>
            <a:t>计数，不受</a:t>
          </a:r>
          <a:r>
            <a:rPr lang="de-DE" altLang="zh-CN"/>
            <a:t>SUMIFS</a:t>
          </a:r>
          <a:r>
            <a:rPr lang="zh-CN" altLang="en-US"/>
            <a:t>单列求和限制。</a:t>
          </a:r>
        </a:p>
        <a:p>
          <a:r>
            <a:rPr lang="zh-CN" altLang="en-US"/>
            <a:t>👉 本案例用途：计算同比</a:t>
          </a:r>
          <a:r>
            <a:rPr lang="de-DE" altLang="zh-CN"/>
            <a:t>YoY</a:t>
          </a:r>
          <a:r>
            <a:rPr lang="zh-CN" altLang="en-US"/>
            <a:t>指标，匹配</a:t>
          </a:r>
          <a:r>
            <a:rPr lang="zh-CN" altLang="en-US" b="1"/>
            <a:t>同月、上一年</a:t>
          </a:r>
          <a:r>
            <a:rPr lang="zh-CN" altLang="en-US"/>
            <a:t>的数据做对比，用来算出增长率。 优势：可以同时匹配年份</a:t>
          </a:r>
          <a:r>
            <a:rPr lang="en-US" altLang="zh-CN"/>
            <a:t>+</a:t>
          </a:r>
          <a:r>
            <a:rPr lang="zh-CN" altLang="en-US"/>
            <a:t>月份，适合</a:t>
          </a:r>
          <a:r>
            <a:rPr lang="de-DE" altLang="zh-CN"/>
            <a:t>YoY</a:t>
          </a:r>
          <a:r>
            <a:rPr lang="zh-CN" altLang="en-US"/>
            <a:t>同比计算。 对比</a:t>
          </a:r>
          <a:r>
            <a:rPr lang="de-DE" altLang="zh-CN"/>
            <a:t>SUMIFS</a:t>
          </a:r>
          <a:r>
            <a:rPr lang="zh-CN" altLang="de-DE"/>
            <a:t>：</a:t>
          </a:r>
          <a:r>
            <a:rPr lang="de-DE" altLang="zh-CN"/>
            <a:t>SUMIFS</a:t>
          </a:r>
          <a:r>
            <a:rPr lang="zh-CN" altLang="en-US"/>
            <a:t>更简单易读；</a:t>
          </a:r>
          <a:r>
            <a:rPr lang="de-DE" altLang="zh-CN"/>
            <a:t>SUMPRODUCT</a:t>
          </a:r>
          <a:r>
            <a:rPr lang="zh-CN" altLang="en-US"/>
            <a:t>适合复杂多列数组计算，旧版</a:t>
          </a:r>
          <a:r>
            <a:rPr lang="de-DE" altLang="zh-CN"/>
            <a:t>Excel</a:t>
          </a:r>
          <a:r>
            <a:rPr lang="zh-CN" altLang="en-US"/>
            <a:t>兼容。</a:t>
          </a:r>
        </a:p>
        <a:p>
          <a:r>
            <a:rPr lang="en-US" altLang="zh-CN" b="1"/>
            <a:t>3. </a:t>
          </a:r>
          <a:r>
            <a:rPr lang="de-DE" altLang="zh-CN" b="1"/>
            <a:t>IF</a:t>
          </a:r>
        </a:p>
        <a:p>
          <a:r>
            <a:rPr lang="zh-CN" altLang="en-US" b="1"/>
            <a:t>作用</a:t>
          </a:r>
          <a:r>
            <a:rPr lang="zh-CN" altLang="en-US"/>
            <a:t>：条件判断，根据单元格的值返回不同结果。</a:t>
          </a:r>
        </a:p>
        <a:p>
          <a:r>
            <a:rPr lang="zh-CN" altLang="en-US"/>
            <a:t>语法：</a:t>
          </a:r>
          <a:r>
            <a:rPr lang="de-DE" altLang="zh-CN"/>
            <a:t>IF(</a:t>
          </a:r>
          <a:r>
            <a:rPr lang="zh-CN" altLang="en-US"/>
            <a:t>条件</a:t>
          </a:r>
          <a:r>
            <a:rPr lang="en-US" altLang="zh-CN"/>
            <a:t>,</a:t>
          </a:r>
          <a:r>
            <a:rPr lang="zh-CN" altLang="en-US"/>
            <a:t>满足条件返回的值</a:t>
          </a:r>
          <a:r>
            <a:rPr lang="en-US" altLang="zh-CN"/>
            <a:t>,</a:t>
          </a:r>
          <a:r>
            <a:rPr lang="zh-CN" altLang="en-US"/>
            <a:t>不满足返回的值</a:t>
          </a:r>
          <a:r>
            <a:rPr lang="en-US" altLang="zh-CN"/>
            <a:t>) </a:t>
          </a:r>
          <a:r>
            <a:rPr lang="zh-CN" altLang="en-US"/>
            <a:t>👉 本案例两大核心场景：</a:t>
          </a:r>
        </a:p>
        <a:p>
          <a:r>
            <a:rPr lang="zh-CN" altLang="en-US">
              <a:effectLst/>
            </a:rPr>
            <a:t>部门切换：单选按钮输出</a:t>
          </a:r>
          <a:r>
            <a:rPr lang="en-US" altLang="zh-CN">
              <a:effectLst/>
            </a:rPr>
            <a:t>1/2/3</a:t>
          </a:r>
          <a:r>
            <a:rPr lang="zh-CN" altLang="en-US">
              <a:effectLst/>
            </a:rPr>
            <a:t>到</a:t>
          </a:r>
          <a:r>
            <a:rPr lang="de-DE" altLang="zh-CN">
              <a:effectLst/>
            </a:rPr>
            <a:t>Calc!Z1</a:t>
          </a:r>
          <a:r>
            <a:rPr lang="zh-CN" altLang="de-DE">
              <a:effectLst/>
            </a:rPr>
            <a:t>，</a:t>
          </a:r>
          <a:r>
            <a:rPr lang="de-DE" altLang="zh-CN">
              <a:effectLst/>
            </a:rPr>
            <a:t>IF($Z$1=1, plumbing</a:t>
          </a:r>
          <a:r>
            <a:rPr lang="zh-CN" altLang="en-US">
              <a:effectLst/>
            </a:rPr>
            <a:t>数据</a:t>
          </a:r>
          <a:r>
            <a:rPr lang="en-US" altLang="zh-CN">
              <a:effectLst/>
            </a:rPr>
            <a:t>, </a:t>
          </a:r>
          <a:r>
            <a:rPr lang="de-DE" altLang="zh-CN">
              <a:effectLst/>
            </a:rPr>
            <a:t>IF($Z$1=2,hvac</a:t>
          </a:r>
          <a:r>
            <a:rPr lang="zh-CN" altLang="en-US">
              <a:effectLst/>
            </a:rPr>
            <a:t>数据</a:t>
          </a:r>
          <a:r>
            <a:rPr lang="en-US" altLang="zh-CN">
              <a:effectLst/>
            </a:rPr>
            <a:t>,</a:t>
          </a:r>
          <a:r>
            <a:rPr lang="de-DE" altLang="zh-CN">
              <a:effectLst/>
            </a:rPr>
            <a:t>electrical</a:t>
          </a:r>
          <a:r>
            <a:rPr lang="zh-CN" altLang="en-US">
              <a:effectLst/>
            </a:rPr>
            <a:t>数据</a:t>
          </a:r>
          <a:r>
            <a:rPr lang="en-US" altLang="zh-CN">
              <a:effectLst/>
            </a:rPr>
            <a:t>))</a:t>
          </a:r>
          <a:r>
            <a:rPr lang="zh-CN" altLang="en-US">
              <a:effectLst/>
            </a:rPr>
            <a:t>，动态生成图表数据源。</a:t>
          </a:r>
        </a:p>
        <a:p>
          <a:r>
            <a:rPr lang="zh-CN" altLang="en-US">
              <a:effectLst/>
            </a:rPr>
            <a:t>增长率容错：</a:t>
          </a:r>
          <a:r>
            <a:rPr lang="de-DE" altLang="zh-CN">
              <a:effectLst/>
            </a:rPr>
            <a:t>IFERROR</a:t>
          </a:r>
          <a:r>
            <a:rPr lang="zh-CN" altLang="en-US">
              <a:effectLst/>
            </a:rPr>
            <a:t>配合</a:t>
          </a:r>
          <a:r>
            <a:rPr lang="de-DE" altLang="zh-CN">
              <a:effectLst/>
            </a:rPr>
            <a:t>IF</a:t>
          </a:r>
          <a:r>
            <a:rPr lang="zh-CN" altLang="de-DE">
              <a:effectLst/>
            </a:rPr>
            <a:t>，</a:t>
          </a:r>
          <a:r>
            <a:rPr lang="de-DE" altLang="zh-CN">
              <a:effectLst/>
            </a:rPr>
            <a:t>IFERROR(</a:t>
          </a:r>
          <a:r>
            <a:rPr lang="zh-CN" altLang="en-US">
              <a:effectLst/>
            </a:rPr>
            <a:t>当年</a:t>
          </a:r>
          <a:r>
            <a:rPr lang="en-US" altLang="zh-CN">
              <a:effectLst/>
            </a:rPr>
            <a:t>/</a:t>
          </a:r>
          <a:r>
            <a:rPr lang="zh-CN" altLang="en-US">
              <a:effectLst/>
            </a:rPr>
            <a:t>去年</a:t>
          </a:r>
          <a:r>
            <a:rPr lang="en-US" altLang="zh-CN">
              <a:effectLst/>
            </a:rPr>
            <a:t>-1,</a:t>
          </a:r>
          <a:r>
            <a:rPr lang="de-DE" altLang="zh-CN">
              <a:effectLst/>
            </a:rPr>
            <a:t>NA())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避免去年无数据时出现</a:t>
          </a:r>
          <a:r>
            <a:rPr lang="en-US" altLang="zh-CN">
              <a:effectLst/>
            </a:rPr>
            <a:t>#</a:t>
          </a:r>
          <a:r>
            <a:rPr lang="de-DE" altLang="zh-CN">
              <a:effectLst/>
            </a:rPr>
            <a:t>DIV/0!</a:t>
          </a:r>
          <a:r>
            <a:rPr lang="zh-CN" altLang="en-US">
              <a:effectLst/>
            </a:rPr>
            <a:t>报错。 拓展：多层</a:t>
          </a:r>
          <a:r>
            <a:rPr lang="de-DE" altLang="zh-CN">
              <a:effectLst/>
            </a:rPr>
            <a:t>IF</a:t>
          </a:r>
          <a:r>
            <a:rPr lang="zh-CN" altLang="en-US">
              <a:effectLst/>
            </a:rPr>
            <a:t>嵌套，或者用</a:t>
          </a:r>
          <a:r>
            <a:rPr lang="de-DE" altLang="zh-CN">
              <a:effectLst/>
            </a:rPr>
            <a:t>CHOOSE</a:t>
          </a:r>
          <a:r>
            <a:rPr lang="zh-CN" altLang="en-US">
              <a:effectLst/>
            </a:rPr>
            <a:t>函数替代多层</a:t>
          </a:r>
          <a:r>
            <a:rPr lang="de-DE" altLang="zh-CN">
              <a:effectLst/>
            </a:rPr>
            <a:t>IF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公式更简洁。</a:t>
          </a:r>
        </a:p>
        <a:p>
          <a:r>
            <a:rPr lang="en-US" altLang="zh-CN" b="1"/>
            <a:t>4. </a:t>
          </a:r>
          <a:r>
            <a:rPr lang="de-DE" altLang="zh-CN" b="1"/>
            <a:t>CHOOSE</a:t>
          </a:r>
          <a:r>
            <a:rPr lang="zh-CN" altLang="de-DE" b="1"/>
            <a:t>（</a:t>
          </a:r>
          <a:r>
            <a:rPr lang="zh-CN" altLang="en-US" b="1"/>
            <a:t>配套使用）</a:t>
          </a:r>
        </a:p>
        <a:p>
          <a:r>
            <a:rPr lang="zh-CN" altLang="en-US"/>
            <a:t>本案例用来动态切换图表标题：</a:t>
          </a:r>
          <a:r>
            <a:rPr lang="de-DE" altLang="zh-CN"/>
            <a:t>CHOOSE($Z$1,"Plumbing Monthly Revenue","HVAC Monthly Revenue","Electrical Monthly Revenue") </a:t>
          </a:r>
          <a:r>
            <a:rPr lang="zh-CN" altLang="en-US"/>
            <a:t>根据</a:t>
          </a:r>
          <a:r>
            <a:rPr lang="de-DE" altLang="zh-CN"/>
            <a:t>Z1</a:t>
          </a:r>
          <a:r>
            <a:rPr lang="zh-CN" altLang="en-US"/>
            <a:t>的</a:t>
          </a:r>
          <a:r>
            <a:rPr lang="en-US" altLang="zh-CN"/>
            <a:t>1/2/3</a:t>
          </a:r>
          <a:r>
            <a:rPr lang="zh-CN" altLang="en-US"/>
            <a:t>，自动切换图表标题文字。</a:t>
          </a:r>
        </a:p>
        <a:p>
          <a:r>
            <a:rPr lang="zh-CN" altLang="en-US" b="1"/>
            <a:t>二、</a:t>
          </a:r>
          <a:r>
            <a:rPr lang="de-DE" altLang="zh-CN" b="1"/>
            <a:t>Excel </a:t>
          </a:r>
          <a:r>
            <a:rPr lang="zh-CN" altLang="en-US" b="1"/>
            <a:t>核心功能 </a:t>
          </a:r>
          <a:r>
            <a:rPr lang="en-US" altLang="zh-CN" b="1"/>
            <a:t>&amp; </a:t>
          </a:r>
          <a:r>
            <a:rPr lang="zh-CN" altLang="en-US" b="1"/>
            <a:t>技能（结合本项目）</a:t>
          </a:r>
        </a:p>
        <a:p>
          <a:r>
            <a:rPr lang="en-US" altLang="zh-CN" b="1"/>
            <a:t>1. </a:t>
          </a:r>
          <a:r>
            <a:rPr lang="zh-CN" altLang="en-US" b="1"/>
            <a:t>超级表（结构化表 </a:t>
          </a:r>
          <a:r>
            <a:rPr lang="de-DE" altLang="zh-CN" b="1"/>
            <a:t>Table</a:t>
          </a:r>
          <a:r>
            <a:rPr lang="zh-CN" altLang="de-DE" b="1"/>
            <a:t>）</a:t>
          </a:r>
        </a:p>
        <a:p>
          <a:r>
            <a:rPr lang="zh-CN" altLang="en-US"/>
            <a:t>✅ 功能：把</a:t>
          </a:r>
          <a:r>
            <a:rPr lang="de-DE" altLang="zh-CN"/>
            <a:t>RawData</a:t>
          </a:r>
          <a:r>
            <a:rPr lang="zh-CN" altLang="en-US"/>
            <a:t>原始数据转为超级表，</a:t>
          </a:r>
          <a:r>
            <a:rPr lang="zh-CN" altLang="en-US" b="1"/>
            <a:t>新增行时自动扩展表格范围</a:t>
          </a:r>
          <a:r>
            <a:rPr lang="zh-CN" altLang="en-US"/>
            <a:t>，公式、结构化引用自动识别新增行。 👉 本案例应用：</a:t>
          </a:r>
          <a:r>
            <a:rPr lang="de-DE" altLang="zh-CN"/>
            <a:t>tbl_RawData</a:t>
          </a:r>
          <a:r>
            <a:rPr lang="zh-CN" altLang="de-DE"/>
            <a:t>，</a:t>
          </a:r>
          <a:r>
            <a:rPr lang="zh-CN" altLang="en-US"/>
            <a:t>字段：</a:t>
          </a:r>
          <a:r>
            <a:rPr lang="de-DE" altLang="zh-CN"/>
            <a:t>Year, Month, Total_Marketing_Cost, Call Volume, Plumbing_Revenue, HVAC_Revenue, Electrical_Revenue</a:t>
          </a:r>
        </a:p>
        <a:p>
          <a:r>
            <a:rPr lang="zh-CN" altLang="en-US">
              <a:effectLst/>
            </a:rPr>
            <a:t>优势：支持结构化引用 </a:t>
          </a:r>
          <a:r>
            <a:rPr lang="de-DE" altLang="zh-CN">
              <a:effectLst/>
            </a:rPr>
            <a:t>tbl_RawData[Plumbing_Revenue]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比</a:t>
          </a:r>
          <a:r>
            <a:rPr lang="de-DE" altLang="zh-CN">
              <a:effectLst/>
            </a:rPr>
            <a:t>A2:A100</a:t>
          </a:r>
          <a:r>
            <a:rPr lang="zh-CN" altLang="en-US">
              <a:effectLst/>
            </a:rPr>
            <a:t>更稳定；新增月度数据，表格自动延伸。</a:t>
          </a:r>
        </a:p>
        <a:p>
          <a:r>
            <a:rPr lang="zh-CN" altLang="en-US">
              <a:effectLst/>
            </a:rPr>
            <a:t>注意：超级表自动扩展，但</a:t>
          </a:r>
          <a:r>
            <a:rPr lang="zh-CN" altLang="en-US" b="1">
              <a:effectLst/>
            </a:rPr>
            <a:t>不会自动刷新透视表</a:t>
          </a:r>
          <a:r>
            <a:rPr lang="zh-CN" altLang="en-US">
              <a:effectLst/>
            </a:rPr>
            <a:t>，需要手动刷新。</a:t>
          </a:r>
        </a:p>
        <a:p>
          <a:r>
            <a:rPr lang="en-US" altLang="zh-CN" b="1"/>
            <a:t>2. </a:t>
          </a:r>
          <a:r>
            <a:rPr lang="zh-CN" altLang="en-US" b="1"/>
            <a:t>数据验证（</a:t>
          </a:r>
          <a:r>
            <a:rPr lang="de-DE" altLang="zh-CN" b="1"/>
            <a:t>Data Validation</a:t>
          </a:r>
          <a:r>
            <a:rPr lang="zh-CN" altLang="de-DE" b="1"/>
            <a:t>）</a:t>
          </a:r>
        </a:p>
        <a:p>
          <a:r>
            <a:rPr lang="zh-CN" altLang="en-US"/>
            <a:t>✅ 功能：限制单元格输入内容，拦截脏数据。 👉 本案例录入表设置：</a:t>
          </a:r>
        </a:p>
        <a:p>
          <a:r>
            <a:rPr lang="de-DE" altLang="zh-CN">
              <a:effectLst/>
            </a:rPr>
            <a:t>Year</a:t>
          </a:r>
          <a:r>
            <a:rPr lang="zh-CN" altLang="de-DE">
              <a:effectLst/>
            </a:rPr>
            <a:t>：</a:t>
          </a:r>
          <a:r>
            <a:rPr lang="zh-CN" altLang="en-US">
              <a:effectLst/>
            </a:rPr>
            <a:t>仅允许整数</a:t>
          </a:r>
        </a:p>
        <a:p>
          <a:r>
            <a:rPr lang="de-DE" altLang="zh-CN">
              <a:effectLst/>
            </a:rPr>
            <a:t>Month</a:t>
          </a:r>
          <a:r>
            <a:rPr lang="zh-CN" altLang="de-DE">
              <a:effectLst/>
            </a:rPr>
            <a:t>：</a:t>
          </a:r>
          <a:r>
            <a:rPr lang="zh-CN" altLang="en-US">
              <a:effectLst/>
            </a:rPr>
            <a:t>限制只能输入</a:t>
          </a:r>
          <a:r>
            <a:rPr lang="en-US" altLang="zh-CN">
              <a:effectLst/>
            </a:rPr>
            <a:t>1~12</a:t>
          </a:r>
        </a:p>
        <a:p>
          <a:r>
            <a:rPr lang="zh-CN" altLang="en-US">
              <a:effectLst/>
            </a:rPr>
            <a:t>金额列：设置数字格式为货币</a:t>
          </a:r>
        </a:p>
        <a:p>
          <a:r>
            <a:rPr lang="zh-CN" altLang="en-US">
              <a:effectLst/>
            </a:rPr>
            <a:t>配套</a:t>
          </a:r>
          <a:r>
            <a:rPr lang="en-US" altLang="zh-CN">
              <a:effectLst/>
            </a:rPr>
            <a:t>【</a:t>
          </a:r>
          <a:r>
            <a:rPr lang="zh-CN" altLang="en-US">
              <a:effectLst/>
            </a:rPr>
            <a:t>输入提示 </a:t>
          </a:r>
          <a:r>
            <a:rPr lang="en-US" altLang="zh-CN">
              <a:effectLst/>
            </a:rPr>
            <a:t>+ </a:t>
          </a:r>
          <a:r>
            <a:rPr lang="zh-CN" altLang="en-US">
              <a:effectLst/>
            </a:rPr>
            <a:t>出错警告</a:t>
          </a:r>
          <a:r>
            <a:rPr lang="en-US" altLang="zh-CN">
              <a:effectLst/>
            </a:rPr>
            <a:t>】</a:t>
          </a:r>
          <a:r>
            <a:rPr lang="zh-CN" altLang="en-US">
              <a:effectLst/>
            </a:rPr>
            <a:t>，客户输入错误时弹窗提醒。 目的：防止录入文本、负数月份、乱码，保证原始数据干净，保障后续图表</a:t>
          </a:r>
          <a:r>
            <a:rPr lang="en-US" altLang="zh-CN">
              <a:effectLst/>
            </a:rPr>
            <a:t>/</a:t>
          </a:r>
          <a:r>
            <a:rPr lang="zh-CN" altLang="en-US">
              <a:effectLst/>
            </a:rPr>
            <a:t>公式不出错。</a:t>
          </a:r>
        </a:p>
        <a:p>
          <a:r>
            <a:rPr lang="en-US" altLang="zh-CN" b="1"/>
            <a:t>3. </a:t>
          </a:r>
          <a:r>
            <a:rPr lang="zh-CN" altLang="en-US" b="1"/>
            <a:t>定义名称 </a:t>
          </a:r>
          <a:r>
            <a:rPr lang="en-US" altLang="zh-CN" b="1"/>
            <a:t>/ </a:t>
          </a:r>
          <a:r>
            <a:rPr lang="zh-CN" altLang="en-US" b="1"/>
            <a:t>命名单元格（</a:t>
          </a:r>
          <a:r>
            <a:rPr lang="de-DE" altLang="zh-CN" b="1"/>
            <a:t>Name Box</a:t>
          </a:r>
          <a:r>
            <a:rPr lang="zh-CN" altLang="de-DE" b="1"/>
            <a:t>）</a:t>
          </a:r>
        </a:p>
        <a:p>
          <a:r>
            <a:rPr lang="zh-CN" altLang="en-US"/>
            <a:t>✅ 功能：给单元格</a:t>
          </a:r>
          <a:r>
            <a:rPr lang="en-US" altLang="zh-CN"/>
            <a:t>/</a:t>
          </a:r>
          <a:r>
            <a:rPr lang="zh-CN" altLang="en-US"/>
            <a:t>区域自定义名称，代替</a:t>
          </a:r>
          <a:r>
            <a:rPr lang="de-DE" altLang="zh-CN"/>
            <a:t>A1</a:t>
          </a:r>
          <a:r>
            <a:rPr lang="zh-CN" altLang="de-DE"/>
            <a:t>、</a:t>
          </a:r>
          <a:r>
            <a:rPr lang="de-DE" altLang="zh-CN"/>
            <a:t>B2</a:t>
          </a:r>
          <a:r>
            <a:rPr lang="zh-CN" altLang="en-US"/>
            <a:t>这种地址，公式可读性更强。</a:t>
          </a:r>
        </a:p>
        <a:p>
          <a:r>
            <a:rPr lang="zh-CN" altLang="en-US"/>
            <a:t>举例：将</a:t>
          </a:r>
          <a:r>
            <a:rPr lang="de-DE" altLang="zh-CN"/>
            <a:t>Calc!$G$1</a:t>
          </a:r>
          <a:r>
            <a:rPr lang="zh-CN" altLang="en-US"/>
            <a:t>命名为</a:t>
          </a:r>
          <a:r>
            <a:rPr lang="de-DE" altLang="zh-CN"/>
            <a:t>SelectedYear</a:t>
          </a:r>
          <a:r>
            <a:rPr lang="zh-CN" altLang="de-DE"/>
            <a:t>，</a:t>
          </a:r>
          <a:r>
            <a:rPr lang="zh-CN" altLang="en-US"/>
            <a:t>公式可以直接写 </a:t>
          </a:r>
          <a:r>
            <a:rPr lang="de-DE" altLang="zh-CN"/>
            <a:t>SUMIFS(tbl_RawData[Total_Revenue],tbl_RawData[Year],SelectedYear) </a:t>
          </a:r>
          <a:r>
            <a:rPr lang="zh-CN" altLang="en-US"/>
            <a:t>本案例拓展用法：名称管理器</a:t>
          </a:r>
          <a:r>
            <a:rPr lang="en-US" altLang="zh-CN"/>
            <a:t>+</a:t>
          </a:r>
          <a:r>
            <a:rPr lang="de-DE" altLang="zh-CN"/>
            <a:t>CHOOSE</a:t>
          </a:r>
          <a:r>
            <a:rPr lang="zh-CN" altLang="en-US"/>
            <a:t>实现动态图片切换（备选方案，多图表切换）。</a:t>
          </a:r>
        </a:p>
        <a:p>
          <a:r>
            <a:rPr lang="en-US" altLang="zh-CN" b="1"/>
            <a:t>4. </a:t>
          </a:r>
          <a:r>
            <a:rPr lang="zh-CN" altLang="en-US" b="1"/>
            <a:t>切片器 </a:t>
          </a:r>
          <a:r>
            <a:rPr lang="de-DE" altLang="zh-CN" b="1"/>
            <a:t>Slicer</a:t>
          </a:r>
        </a:p>
        <a:p>
          <a:r>
            <a:rPr lang="zh-CN" altLang="en-US"/>
            <a:t>✅ 功能：可视化筛选器，联动全部透视表，一键切换年份。 👉 本案例：</a:t>
          </a:r>
          <a:r>
            <a:rPr lang="de-DE" altLang="zh-CN"/>
            <a:t>Year</a:t>
          </a:r>
          <a:r>
            <a:rPr lang="zh-CN" altLang="en-US"/>
            <a:t>切片器，选中</a:t>
          </a:r>
          <a:r>
            <a:rPr lang="en-US" altLang="zh-CN"/>
            <a:t>2024/2025/2026</a:t>
          </a:r>
          <a:r>
            <a:rPr lang="zh-CN" altLang="en-US"/>
            <a:t>，</a:t>
          </a:r>
          <a:r>
            <a:rPr lang="zh-CN" altLang="en-US" b="1"/>
            <a:t>所有透视表、</a:t>
          </a:r>
          <a:r>
            <a:rPr lang="de-DE" altLang="zh-CN" b="1"/>
            <a:t>KPI</a:t>
          </a:r>
          <a:r>
            <a:rPr lang="zh-CN" altLang="de-DE" b="1"/>
            <a:t>、</a:t>
          </a:r>
          <a:r>
            <a:rPr lang="zh-CN" altLang="en-US" b="1"/>
            <a:t>图表同步筛选</a:t>
          </a:r>
          <a:r>
            <a:rPr lang="zh-CN" altLang="en-US"/>
            <a:t>。</a:t>
          </a:r>
        </a:p>
        <a:p>
          <a:r>
            <a:rPr lang="zh-CN" altLang="en-US"/>
            <a:t>关键点：切片器报表连接，勾选所有相关透视表，保证全部图表同步更新。</a:t>
          </a:r>
        </a:p>
        <a:p>
          <a:r>
            <a:rPr lang="en-US" altLang="zh-CN" b="1"/>
            <a:t>5. </a:t>
          </a:r>
          <a:r>
            <a:rPr lang="de-DE" altLang="zh-CN" b="1"/>
            <a:t>KPI</a:t>
          </a:r>
          <a:r>
            <a:rPr lang="zh-CN" altLang="en-US" b="1"/>
            <a:t>卡片：文本框链接单元格</a:t>
          </a:r>
        </a:p>
        <a:p>
          <a:r>
            <a:rPr lang="zh-CN" altLang="en-US"/>
            <a:t>✅ 功能：文本框直接绑定单元格，单元格数值变化，卡片文字自动更新。</a:t>
          </a:r>
        </a:p>
        <a:p>
          <a:r>
            <a:rPr lang="zh-CN" altLang="en-US"/>
            <a:t>操作：选中文本框，点击公式栏输入</a:t>
          </a:r>
          <a:r>
            <a:rPr lang="en-US" altLang="zh-CN"/>
            <a:t>=</a:t>
          </a:r>
          <a:r>
            <a:rPr lang="de-DE" altLang="zh-CN"/>
            <a:t>Calc!B2</a:t>
          </a:r>
          <a:r>
            <a:rPr lang="zh-CN" altLang="de-DE"/>
            <a:t>，</a:t>
          </a:r>
          <a:r>
            <a:rPr lang="zh-CN" altLang="en-US"/>
            <a:t>回车。 本案例：顶部</a:t>
          </a:r>
          <a:r>
            <a:rPr lang="en-US" altLang="zh-CN"/>
            <a:t>3</a:t>
          </a:r>
          <a:r>
            <a:rPr lang="zh-CN" altLang="en-US"/>
            <a:t>张</a:t>
          </a:r>
          <a:r>
            <a:rPr lang="de-DE" altLang="zh-CN"/>
            <a:t>KPI</a:t>
          </a:r>
          <a:r>
            <a:rPr lang="zh-CN" altLang="en-US"/>
            <a:t>卡片（</a:t>
          </a:r>
          <a:r>
            <a:rPr lang="de-DE" altLang="zh-CN"/>
            <a:t>Total Revenue</a:t>
          </a:r>
          <a:r>
            <a:rPr lang="zh-CN" altLang="de-DE"/>
            <a:t>、</a:t>
          </a:r>
          <a:r>
            <a:rPr lang="de-DE" altLang="zh-CN"/>
            <a:t>Total Call Volume</a:t>
          </a:r>
          <a:r>
            <a:rPr lang="zh-CN" altLang="de-DE"/>
            <a:t>、</a:t>
          </a:r>
          <a:r>
            <a:rPr lang="de-DE" altLang="zh-CN"/>
            <a:t>Total Marketing Cost</a:t>
          </a:r>
          <a:r>
            <a:rPr lang="zh-CN" altLang="de-DE"/>
            <a:t>），</a:t>
          </a:r>
          <a:r>
            <a:rPr lang="zh-CN" altLang="en-US"/>
            <a:t>数字</a:t>
          </a:r>
          <a:r>
            <a:rPr lang="en-US" altLang="zh-CN"/>
            <a:t>+</a:t>
          </a:r>
          <a:r>
            <a:rPr lang="de-DE" altLang="zh-CN"/>
            <a:t>YoY</a:t>
          </a:r>
          <a:r>
            <a:rPr lang="zh-CN" altLang="en-US"/>
            <a:t>百分比。 搭配：自定义单元格格式、条件格式。</a:t>
          </a:r>
        </a:p>
        <a:p>
          <a:r>
            <a:rPr lang="en-US" altLang="zh-CN" b="1"/>
            <a:t>6. </a:t>
          </a:r>
          <a:r>
            <a:rPr lang="zh-CN" altLang="en-US" b="1"/>
            <a:t>自定义单元格格式 </a:t>
          </a:r>
          <a:r>
            <a:rPr lang="en-US" altLang="zh-CN" b="1"/>
            <a:t>+ </a:t>
          </a:r>
          <a:r>
            <a:rPr lang="zh-CN" altLang="en-US" b="1"/>
            <a:t>条件格式（正负号自动变色）</a:t>
          </a:r>
        </a:p>
        <a:p>
          <a:r>
            <a:rPr lang="zh-CN" altLang="en-US" b="1">
              <a:effectLst/>
            </a:rPr>
            <a:t>自定义数字格式</a:t>
          </a:r>
          <a:r>
            <a:rPr lang="zh-CN" altLang="en-US">
              <a:effectLst/>
            </a:rPr>
            <a:t>：</a:t>
          </a:r>
          <a:r>
            <a:rPr lang="en-US" altLang="zh-CN">
              <a:effectLst/>
            </a:rPr>
            <a:t>+0.0%;-0.0%;0</a:t>
          </a:r>
        </a:p>
        <a:p>
          <a:pPr lvl="1"/>
          <a:r>
            <a:rPr lang="zh-CN" altLang="en-US">
              <a:effectLst/>
            </a:rPr>
            <a:t>正数：</a:t>
          </a:r>
          <a:r>
            <a:rPr lang="en-US" altLang="zh-CN">
              <a:effectLst/>
            </a:rPr>
            <a:t>+8.8%</a:t>
          </a:r>
          <a:r>
            <a:rPr lang="zh-CN" altLang="en-US">
              <a:effectLst/>
            </a:rPr>
            <a:t>，负数：</a:t>
          </a:r>
          <a:r>
            <a:rPr lang="en-US" altLang="zh-CN">
              <a:effectLst/>
            </a:rPr>
            <a:t>-9.0%</a:t>
          </a:r>
          <a:r>
            <a:rPr lang="zh-CN" altLang="en-US">
              <a:effectLst/>
            </a:rPr>
            <a:t>，自带正负符号。</a:t>
          </a:r>
        </a:p>
        <a:p>
          <a:r>
            <a:rPr lang="zh-CN" altLang="en-US" b="1">
              <a:effectLst/>
            </a:rPr>
            <a:t>条件格式</a:t>
          </a:r>
          <a:r>
            <a:rPr lang="zh-CN" altLang="en-US">
              <a:effectLst/>
            </a:rPr>
            <a:t>：</a:t>
          </a:r>
        </a:p>
        <a:p>
          <a:pPr lvl="1"/>
          <a:r>
            <a:rPr lang="zh-CN" altLang="en-US">
              <a:effectLst/>
            </a:rPr>
            <a:t>增长率</a:t>
          </a:r>
          <a:r>
            <a:rPr lang="en-US" altLang="zh-CN">
              <a:effectLst/>
            </a:rPr>
            <a:t>&gt;0 → </a:t>
          </a:r>
          <a:r>
            <a:rPr lang="zh-CN" altLang="en-US">
              <a:effectLst/>
            </a:rPr>
            <a:t>字体绿色</a:t>
          </a:r>
        </a:p>
        <a:p>
          <a:pPr lvl="1"/>
          <a:r>
            <a:rPr lang="zh-CN" altLang="en-US">
              <a:effectLst/>
            </a:rPr>
            <a:t>增长率</a:t>
          </a:r>
          <a:r>
            <a:rPr lang="en-US" altLang="zh-CN">
              <a:effectLst/>
            </a:rPr>
            <a:t>&lt;0 → </a:t>
          </a:r>
          <a:r>
            <a:rPr lang="zh-CN" altLang="en-US">
              <a:effectLst/>
            </a:rPr>
            <a:t>字体红色 👉 本案例</a:t>
          </a:r>
          <a:r>
            <a:rPr lang="de-DE" altLang="zh-CN">
              <a:effectLst/>
            </a:rPr>
            <a:t>KPI</a:t>
          </a:r>
          <a:r>
            <a:rPr lang="zh-CN" altLang="en-US">
              <a:effectLst/>
            </a:rPr>
            <a:t>卡片</a:t>
          </a:r>
          <a:r>
            <a:rPr lang="de-DE" altLang="zh-CN">
              <a:effectLst/>
            </a:rPr>
            <a:t>YoY</a:t>
          </a:r>
          <a:r>
            <a:rPr lang="zh-CN" altLang="en-US">
              <a:effectLst/>
            </a:rPr>
            <a:t>百分比，自动变色，一眼看清增长</a:t>
          </a:r>
          <a:r>
            <a:rPr lang="en-US" altLang="zh-CN">
              <a:effectLst/>
            </a:rPr>
            <a:t>/</a:t>
          </a:r>
          <a:r>
            <a:rPr lang="zh-CN" altLang="en-US">
              <a:effectLst/>
            </a:rPr>
            <a:t>下滑。</a:t>
          </a:r>
        </a:p>
        <a:p>
          <a:r>
            <a:rPr lang="en-US" altLang="zh-CN" b="1"/>
            <a:t>7. </a:t>
          </a:r>
          <a:r>
            <a:rPr lang="zh-CN" altLang="en-US" b="1"/>
            <a:t>表单控件 选项按钮（单选按钮，部门切换）</a:t>
          </a:r>
        </a:p>
        <a:p>
          <a:r>
            <a:rPr lang="zh-CN" altLang="en-US"/>
            <a:t>实现：点击</a:t>
          </a:r>
          <a:r>
            <a:rPr lang="de-DE" altLang="zh-CN"/>
            <a:t>Plumbing</a:t>
          </a:r>
          <a:r>
            <a:rPr lang="zh-CN" altLang="en-US"/>
            <a:t>输出</a:t>
          </a:r>
          <a:r>
            <a:rPr lang="en-US" altLang="zh-CN"/>
            <a:t>1</a:t>
          </a:r>
          <a:r>
            <a:rPr lang="zh-CN" altLang="en-US"/>
            <a:t>，</a:t>
          </a:r>
          <a:r>
            <a:rPr lang="de-DE" altLang="zh-CN"/>
            <a:t>HVAC</a:t>
          </a:r>
          <a:r>
            <a:rPr lang="zh-CN" altLang="en-US"/>
            <a:t>输出</a:t>
          </a:r>
          <a:r>
            <a:rPr lang="en-US" altLang="zh-CN"/>
            <a:t>2</a:t>
          </a:r>
          <a:r>
            <a:rPr lang="zh-CN" altLang="en-US"/>
            <a:t>，</a:t>
          </a:r>
          <a:r>
            <a:rPr lang="de-DE" altLang="zh-CN"/>
            <a:t>Electrical</a:t>
          </a:r>
          <a:r>
            <a:rPr lang="zh-CN" altLang="en-US"/>
            <a:t>输出</a:t>
          </a:r>
          <a:r>
            <a:rPr lang="en-US" altLang="zh-CN"/>
            <a:t>3</a:t>
          </a:r>
        </a:p>
        <a:p>
          <a:r>
            <a:rPr lang="zh-CN" altLang="en-US">
              <a:effectLst/>
            </a:rPr>
            <a:t>插入</a:t>
          </a:r>
          <a:r>
            <a:rPr lang="en-US" altLang="zh-CN">
              <a:effectLst/>
            </a:rPr>
            <a:t>【</a:t>
          </a:r>
          <a:r>
            <a:rPr lang="de-DE" altLang="zh-CN">
              <a:effectLst/>
            </a:rPr>
            <a:t>Group Box</a:t>
          </a:r>
          <a:r>
            <a:rPr lang="zh-CN" altLang="en-US">
              <a:effectLst/>
            </a:rPr>
            <a:t>分组框</a:t>
          </a:r>
          <a:r>
            <a:rPr lang="en-US" altLang="zh-CN">
              <a:effectLst/>
            </a:rPr>
            <a:t>】</a:t>
          </a:r>
          <a:r>
            <a:rPr lang="zh-CN" altLang="en-US">
              <a:effectLst/>
            </a:rPr>
            <a:t>，框住</a:t>
          </a:r>
          <a:r>
            <a:rPr lang="en-US" altLang="zh-CN">
              <a:effectLst/>
            </a:rPr>
            <a:t>3</a:t>
          </a:r>
          <a:r>
            <a:rPr lang="zh-CN" altLang="en-US">
              <a:effectLst/>
            </a:rPr>
            <a:t>个</a:t>
          </a:r>
          <a:r>
            <a:rPr lang="de-DE" altLang="zh-CN">
              <a:effectLst/>
            </a:rPr>
            <a:t>Option Button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保证是同一组单选。</a:t>
          </a:r>
        </a:p>
        <a:p>
          <a:r>
            <a:rPr lang="zh-CN" altLang="en-US" b="1">
              <a:effectLst/>
            </a:rPr>
            <a:t>严格按创建顺序</a:t>
          </a:r>
          <a:r>
            <a:rPr lang="zh-CN" altLang="en-US">
              <a:effectLst/>
            </a:rPr>
            <a:t>：</a:t>
          </a:r>
          <a:r>
            <a:rPr lang="de-DE" altLang="zh-CN">
              <a:effectLst/>
            </a:rPr>
            <a:t>Plumbing(1) → HVAC(2) → Electrical(3)</a:t>
          </a:r>
        </a:p>
        <a:p>
          <a:r>
            <a:rPr lang="zh-CN" altLang="en-US">
              <a:effectLst/>
            </a:rPr>
            <a:t>右键控件 → </a:t>
          </a:r>
          <a:r>
            <a:rPr lang="de-DE" altLang="zh-CN">
              <a:effectLst/>
            </a:rPr>
            <a:t>Format Control → Control</a:t>
          </a:r>
          <a:r>
            <a:rPr lang="zh-CN" altLang="de-DE">
              <a:effectLst/>
            </a:rPr>
            <a:t>，</a:t>
          </a:r>
          <a:r>
            <a:rPr lang="de-DE" altLang="zh-CN">
              <a:effectLst/>
            </a:rPr>
            <a:t>Cell link</a:t>
          </a:r>
          <a:r>
            <a:rPr lang="zh-CN" altLang="en-US">
              <a:effectLst/>
            </a:rPr>
            <a:t>绑定到</a:t>
          </a:r>
          <a:r>
            <a:rPr lang="de-DE" altLang="zh-CN">
              <a:effectLst/>
            </a:rPr>
            <a:t>Calc!$Z$1</a:t>
          </a:r>
          <a:r>
            <a:rPr lang="zh-CN" altLang="de-DE">
              <a:effectLst/>
            </a:rPr>
            <a:t>。 </a:t>
          </a:r>
          <a:r>
            <a:rPr lang="zh-CN" altLang="en-US">
              <a:effectLst/>
            </a:rPr>
            <a:t>效果：点击不同按钮，</a:t>
          </a:r>
          <a:r>
            <a:rPr lang="de-DE" altLang="zh-CN">
              <a:effectLst/>
            </a:rPr>
            <a:t>Z1</a:t>
          </a:r>
          <a:r>
            <a:rPr lang="zh-CN" altLang="en-US">
              <a:effectLst/>
            </a:rPr>
            <a:t>单元格自动输出</a:t>
          </a:r>
          <a:r>
            <a:rPr lang="en-US" altLang="zh-CN">
              <a:effectLst/>
            </a:rPr>
            <a:t>1/2/3</a:t>
          </a:r>
          <a:r>
            <a:rPr lang="zh-CN" altLang="en-US">
              <a:effectLst/>
            </a:rPr>
            <a:t>；再用</a:t>
          </a:r>
          <a:r>
            <a:rPr lang="de-DE" altLang="zh-CN">
              <a:effectLst/>
            </a:rPr>
            <a:t>IF</a:t>
          </a:r>
          <a:r>
            <a:rPr lang="zh-CN" altLang="en-US">
              <a:effectLst/>
            </a:rPr>
            <a:t>函数读取</a:t>
          </a:r>
          <a:r>
            <a:rPr lang="de-DE" altLang="zh-CN">
              <a:effectLst/>
            </a:rPr>
            <a:t>Z1</a:t>
          </a:r>
          <a:r>
            <a:rPr lang="zh-CN" altLang="en-US">
              <a:effectLst/>
            </a:rPr>
            <a:t>的值，动态生成图表数据源，实现部门切换。 ⚠️ 工作表保护时，必须勾选</a:t>
          </a:r>
          <a:r>
            <a:rPr lang="de-DE" altLang="zh-CN">
              <a:effectLst/>
            </a:rPr>
            <a:t>Edit objects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否则按钮无法点击。</a:t>
          </a:r>
        </a:p>
        <a:p>
          <a:r>
            <a:rPr lang="en-US" altLang="zh-CN" b="1"/>
            <a:t>8. </a:t>
          </a:r>
          <a:r>
            <a:rPr lang="zh-CN" altLang="en-US" b="1"/>
            <a:t>透视表 </a:t>
          </a:r>
          <a:r>
            <a:rPr lang="en-US" altLang="zh-CN" b="1"/>
            <a:t>+ </a:t>
          </a:r>
          <a:r>
            <a:rPr lang="zh-CN" altLang="en-US" b="1"/>
            <a:t>刷新机制（</a:t>
          </a:r>
          <a:r>
            <a:rPr lang="en-US" altLang="zh-CN" b="1"/>
            <a:t>2</a:t>
          </a:r>
          <a:r>
            <a:rPr lang="zh-CN" altLang="en-US" b="1"/>
            <a:t>套方案：无宏 </a:t>
          </a:r>
          <a:r>
            <a:rPr lang="en-US" altLang="zh-CN" b="1"/>
            <a:t>/ </a:t>
          </a:r>
          <a:r>
            <a:rPr lang="de-DE" altLang="zh-CN" b="1"/>
            <a:t>VBA</a:t>
          </a:r>
          <a:r>
            <a:rPr lang="zh-CN" altLang="en-US" b="1"/>
            <a:t>宏）</a:t>
          </a:r>
        </a:p>
        <a:p>
          <a:r>
            <a:rPr lang="zh-CN" altLang="en-US"/>
            <a:t>你的看板所有图表、</a:t>
          </a:r>
          <a:r>
            <a:rPr lang="de-DE" altLang="zh-CN"/>
            <a:t>KPI</a:t>
          </a:r>
          <a:r>
            <a:rPr lang="zh-CN" altLang="de-DE"/>
            <a:t>，</a:t>
          </a:r>
          <a:r>
            <a:rPr lang="zh-CN" altLang="en-US"/>
            <a:t>底层数据源都是透视表。 透视表默认不会自动读取</a:t>
          </a:r>
          <a:r>
            <a:rPr lang="de-DE" altLang="zh-CN"/>
            <a:t>RawData</a:t>
          </a:r>
          <a:r>
            <a:rPr lang="zh-CN" altLang="en-US"/>
            <a:t>新增行，需要刷新。</a:t>
          </a:r>
        </a:p>
        <a:p>
          <a:r>
            <a:rPr lang="zh-CN" altLang="en-US" b="1"/>
            <a:t>方案</a:t>
          </a:r>
          <a:r>
            <a:rPr lang="de-DE" altLang="zh-CN" b="1"/>
            <a:t>A</a:t>
          </a:r>
          <a:r>
            <a:rPr lang="zh-CN" altLang="de-DE" b="1"/>
            <a:t>：</a:t>
          </a:r>
          <a:r>
            <a:rPr lang="de-DE" altLang="zh-CN" b="1"/>
            <a:t>VBA</a:t>
          </a:r>
          <a:r>
            <a:rPr lang="zh-CN" altLang="en-US" b="1"/>
            <a:t>宏一键刷新（你当前使用）</a:t>
          </a:r>
        </a:p>
        <a:p>
          <a:r>
            <a:rPr lang="zh-CN" altLang="en-US"/>
            <a:t>保存文件格式：</a:t>
          </a:r>
          <a:r>
            <a:rPr lang="en-US" altLang="zh-CN"/>
            <a:t>.</a:t>
          </a:r>
          <a:r>
            <a:rPr lang="de-DE" altLang="zh-CN"/>
            <a:t>xlsm</a:t>
          </a:r>
          <a:r>
            <a:rPr lang="zh-CN" altLang="de-DE"/>
            <a:t>（</a:t>
          </a:r>
          <a:r>
            <a:rPr lang="zh-CN" altLang="en-US"/>
            <a:t>启用宏工作簿，普通</a:t>
          </a:r>
          <a:r>
            <a:rPr lang="de-DE" altLang="zh-CN"/>
            <a:t>xlsx</a:t>
          </a:r>
          <a:r>
            <a:rPr lang="zh-CN" altLang="en-US"/>
            <a:t>无法保存</a:t>
          </a:r>
          <a:r>
            <a:rPr lang="de-DE" altLang="zh-CN"/>
            <a:t>VBA</a:t>
          </a:r>
          <a:r>
            <a:rPr lang="zh-CN" altLang="en-US"/>
            <a:t>代码）</a:t>
          </a:r>
        </a:p>
        <a:p>
          <a:r>
            <a:rPr lang="zh-CN" altLang="en-US">
              <a:effectLst/>
            </a:rPr>
            <a:t>开发工具 → 插入表单控件按钮，放在看板切片器旁边。</a:t>
          </a:r>
        </a:p>
        <a:p>
          <a:r>
            <a:rPr lang="zh-CN" altLang="en-US">
              <a:effectLst/>
            </a:rPr>
            <a:t>绑定宏代码：</a:t>
          </a:r>
        </a:p>
        <a:p>
          <a:r>
            <a:rPr lang="de-DE" altLang="zh-CN"/>
            <a:t>Sub RefreshAllData() ThisWorkbook.RefreshAll MsgBox "Data refresh completed.", vbInformation End Sub </a:t>
          </a:r>
          <a:r>
            <a:rPr lang="de-DE" altLang="zh-CN">
              <a:effectLst/>
            </a:rPr>
            <a:t>ThisWorkbook.RefreshAll</a:t>
          </a:r>
          <a:r>
            <a:rPr lang="zh-CN" altLang="de-DE">
              <a:effectLst/>
            </a:rPr>
            <a:t>：</a:t>
          </a:r>
          <a:r>
            <a:rPr lang="zh-CN" altLang="en-US">
              <a:effectLst/>
            </a:rPr>
            <a:t>刷新本文件</a:t>
          </a:r>
          <a:r>
            <a:rPr lang="zh-CN" altLang="en-US" b="1">
              <a:effectLst/>
            </a:rPr>
            <a:t>全部透视表和查询</a:t>
          </a:r>
          <a:r>
            <a:rPr lang="zh-CN" altLang="en-US">
              <a:effectLst/>
            </a:rPr>
            <a:t>。</a:t>
          </a:r>
        </a:p>
        <a:p>
          <a:r>
            <a:rPr lang="de-DE" altLang="zh-CN">
              <a:effectLst/>
            </a:rPr>
            <a:t>MsgBox</a:t>
          </a:r>
          <a:r>
            <a:rPr lang="zh-CN" altLang="de-DE">
              <a:effectLst/>
            </a:rPr>
            <a:t>：</a:t>
          </a:r>
          <a:r>
            <a:rPr lang="zh-CN" altLang="en-US">
              <a:effectLst/>
            </a:rPr>
            <a:t>弹窗提示刷新完成，可以删掉，静默刷新。 ⚠️ 缺点：客户打开文件</a:t>
          </a:r>
          <a:r>
            <a:rPr lang="zh-CN" altLang="en-US" b="1">
              <a:effectLst/>
            </a:rPr>
            <a:t>必须启用宏</a:t>
          </a:r>
          <a:r>
            <a:rPr lang="zh-CN" altLang="en-US">
              <a:effectLst/>
            </a:rPr>
            <a:t>，如果禁用宏，按钮点击无效果。 配套兜底方案：透视表勾选 </a:t>
          </a:r>
          <a:r>
            <a:rPr lang="de-DE" altLang="zh-CN">
              <a:effectLst/>
            </a:rPr>
            <a:t>Refresh data when opening the file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关闭重开文件自动刷新，就算宏被禁用也可以更新数据。</a:t>
          </a:r>
        </a:p>
        <a:p>
          <a:r>
            <a:rPr lang="zh-CN" altLang="en-US" b="1"/>
            <a:t>方案</a:t>
          </a:r>
          <a:r>
            <a:rPr lang="de-DE" altLang="zh-CN" b="1"/>
            <a:t>B</a:t>
          </a:r>
          <a:r>
            <a:rPr lang="zh-CN" altLang="de-DE" b="1"/>
            <a:t>：</a:t>
          </a:r>
          <a:r>
            <a:rPr lang="zh-CN" altLang="en-US" b="1"/>
            <a:t>无宏方案（</a:t>
          </a:r>
          <a:r>
            <a:rPr lang="en-US" altLang="zh-CN" b="1"/>
            <a:t>.</a:t>
          </a:r>
          <a:r>
            <a:rPr lang="de-DE" altLang="zh-CN" b="1"/>
            <a:t>xlsx</a:t>
          </a:r>
          <a:r>
            <a:rPr lang="zh-CN" altLang="de-DE" b="1"/>
            <a:t>，</a:t>
          </a:r>
          <a:r>
            <a:rPr lang="zh-CN" altLang="en-US" b="1"/>
            <a:t>跨平台稳定，备选交付方案）</a:t>
          </a:r>
        </a:p>
        <a:p>
          <a:r>
            <a:rPr lang="zh-CN" altLang="en-US"/>
            <a:t>不使用</a:t>
          </a:r>
          <a:r>
            <a:rPr lang="de-DE" altLang="zh-CN"/>
            <a:t>VBA</a:t>
          </a:r>
          <a:r>
            <a:rPr lang="zh-CN" altLang="de-DE"/>
            <a:t>，</a:t>
          </a:r>
          <a:r>
            <a:rPr lang="zh-CN" altLang="en-US"/>
            <a:t>客户</a:t>
          </a:r>
          <a:r>
            <a:rPr lang="en-US" altLang="zh-CN"/>
            <a:t>2</a:t>
          </a:r>
          <a:r>
            <a:rPr lang="zh-CN" altLang="en-US"/>
            <a:t>种刷新方式：</a:t>
          </a:r>
        </a:p>
        <a:p>
          <a:r>
            <a:rPr lang="zh-CN" altLang="en-US">
              <a:effectLst/>
            </a:rPr>
            <a:t>顶部菜单 </a:t>
          </a:r>
          <a:r>
            <a:rPr lang="de-DE" altLang="zh-CN">
              <a:effectLst/>
            </a:rPr>
            <a:t>Data &gt; Refresh All</a:t>
          </a:r>
        </a:p>
        <a:p>
          <a:r>
            <a:rPr lang="zh-CN" altLang="en-US">
              <a:effectLst/>
            </a:rPr>
            <a:t>关闭文件，重新打开，透视表自动刷新。</a:t>
          </a:r>
        </a:p>
        <a:p>
          <a:r>
            <a:rPr lang="en-US" altLang="zh-CN" b="1"/>
            <a:t>9. </a:t>
          </a:r>
          <a:r>
            <a:rPr lang="zh-CN" altLang="en-US" b="1"/>
            <a:t>工作表保护 </a:t>
          </a:r>
          <a:r>
            <a:rPr lang="en-US" altLang="zh-CN" b="1"/>
            <a:t>+ </a:t>
          </a:r>
          <a:r>
            <a:rPr lang="zh-CN" altLang="en-US" b="1"/>
            <a:t>文件只读权限（</a:t>
          </a:r>
          <a:r>
            <a:rPr lang="de-DE" altLang="zh-CN" b="1"/>
            <a:t>Demo</a:t>
          </a:r>
          <a:r>
            <a:rPr lang="zh-CN" altLang="en-US" b="1"/>
            <a:t>保护策略）</a:t>
          </a:r>
        </a:p>
        <a:p>
          <a:r>
            <a:rPr lang="zh-CN" altLang="en-US"/>
            <a:t>两种保护层级：</a:t>
          </a:r>
        </a:p>
        <a:p>
          <a:r>
            <a:rPr lang="zh-CN" altLang="en-US" b="1">
              <a:effectLst/>
            </a:rPr>
            <a:t>工作表保护（</a:t>
          </a:r>
          <a:r>
            <a:rPr lang="de-DE" altLang="zh-CN" b="1">
              <a:effectLst/>
            </a:rPr>
            <a:t>Protect Sheet</a:t>
          </a:r>
          <a:r>
            <a:rPr lang="zh-CN" altLang="de-DE" b="1">
              <a:effectLst/>
            </a:rPr>
            <a:t>）</a:t>
          </a:r>
          <a:endParaRPr lang="de-DE" altLang="zh-CN">
            <a:effectLst/>
          </a:endParaRPr>
        </a:p>
        <a:p>
          <a:pPr lvl="1"/>
          <a:r>
            <a:rPr lang="de-DE" altLang="zh-CN">
              <a:effectLst/>
            </a:rPr>
            <a:t>RawData</a:t>
          </a:r>
          <a:r>
            <a:rPr lang="zh-CN" altLang="de-DE">
              <a:effectLst/>
            </a:rPr>
            <a:t>：</a:t>
          </a:r>
          <a:r>
            <a:rPr lang="zh-CN" altLang="en-US">
              <a:effectLst/>
            </a:rPr>
            <a:t>只解锁指定空白行，客户仅能在预留行录入新月度数据；历史数据、标题锁定，不能修改。</a:t>
          </a:r>
        </a:p>
        <a:p>
          <a:pPr lvl="1"/>
          <a:r>
            <a:rPr lang="de-DE" altLang="zh-CN">
              <a:effectLst/>
            </a:rPr>
            <a:t>Dashboard</a:t>
          </a:r>
          <a:r>
            <a:rPr lang="zh-CN" altLang="de-DE">
              <a:effectLst/>
            </a:rPr>
            <a:t>：</a:t>
          </a:r>
          <a:r>
            <a:rPr lang="zh-CN" altLang="en-US">
              <a:effectLst/>
            </a:rPr>
            <a:t>允许切片器、单选按钮、图表对象可交互；锁定所有公式单元格。</a:t>
          </a:r>
        </a:p>
        <a:p>
          <a:pPr lvl="1"/>
          <a:r>
            <a:rPr lang="de-DE" altLang="zh-CN">
              <a:effectLst/>
            </a:rPr>
            <a:t>Calc/Pivot</a:t>
          </a:r>
          <a:r>
            <a:rPr lang="zh-CN" altLang="de-DE">
              <a:effectLst/>
            </a:rPr>
            <a:t>：</a:t>
          </a:r>
          <a:r>
            <a:rPr lang="zh-CN" altLang="en-US">
              <a:effectLst/>
            </a:rPr>
            <a:t>完全锁死，禁止修改公式。</a:t>
          </a:r>
        </a:p>
        <a:p>
          <a:r>
            <a:rPr lang="zh-CN" altLang="en-US" b="1">
              <a:effectLst/>
            </a:rPr>
            <a:t>文件修改权限密码（建议只读）</a:t>
          </a:r>
          <a:r>
            <a:rPr lang="zh-CN" altLang="en-US">
              <a:effectLst/>
            </a:rPr>
            <a:t> 客户打开可以浏览看板交互；修改后</a:t>
          </a:r>
          <a:r>
            <a:rPr lang="zh-CN" altLang="en-US" b="1">
              <a:effectLst/>
            </a:rPr>
            <a:t>不能直接覆盖原文件，只能另存副本</a:t>
          </a:r>
          <a:r>
            <a:rPr lang="zh-CN" altLang="en-US">
              <a:effectLst/>
            </a:rPr>
            <a:t>。 适合</a:t>
          </a:r>
          <a:r>
            <a:rPr lang="de-DE" altLang="zh-CN">
              <a:effectLst/>
            </a:rPr>
            <a:t>Demo</a:t>
          </a:r>
          <a:r>
            <a:rPr lang="zh-CN" altLang="en-US">
              <a:effectLst/>
            </a:rPr>
            <a:t>交付，防止客户误改看板结构。</a:t>
          </a:r>
        </a:p>
        <a:p>
          <a:r>
            <a:rPr lang="en-US" altLang="zh-CN" b="1"/>
            <a:t>10. </a:t>
          </a:r>
          <a:r>
            <a:rPr lang="zh-CN" altLang="en-US" b="1"/>
            <a:t>图表组合：双轴折线</a:t>
          </a:r>
          <a:r>
            <a:rPr lang="en-US" altLang="zh-CN" b="1"/>
            <a:t>+</a:t>
          </a:r>
          <a:r>
            <a:rPr lang="zh-CN" altLang="en-US" b="1"/>
            <a:t>柱状图、饼图</a:t>
          </a:r>
        </a:p>
        <a:p>
          <a:r>
            <a:rPr lang="zh-CN" altLang="en-US"/>
            <a:t>本看板图表组合：</a:t>
          </a:r>
        </a:p>
        <a:p>
          <a:r>
            <a:rPr lang="zh-CN" altLang="en-US">
              <a:effectLst/>
            </a:rPr>
            <a:t>柱状图（月度指标）</a:t>
          </a:r>
          <a:r>
            <a:rPr lang="en-US" altLang="zh-CN">
              <a:effectLst/>
            </a:rPr>
            <a:t>+ </a:t>
          </a:r>
          <a:r>
            <a:rPr lang="zh-CN" altLang="en-US">
              <a:effectLst/>
            </a:rPr>
            <a:t>折线图（</a:t>
          </a:r>
          <a:r>
            <a:rPr lang="de-DE" altLang="zh-CN">
              <a:effectLst/>
            </a:rPr>
            <a:t>YoY</a:t>
          </a:r>
          <a:r>
            <a:rPr lang="zh-CN" altLang="en-US">
              <a:effectLst/>
            </a:rPr>
            <a:t>同比增长率）双组合图</a:t>
          </a:r>
        </a:p>
        <a:p>
          <a:r>
            <a:rPr lang="zh-CN" altLang="en-US">
              <a:effectLst/>
            </a:rPr>
            <a:t>饼图：部门营收占比 </a:t>
          </a:r>
          <a:r>
            <a:rPr lang="de-DE" altLang="zh-CN">
              <a:effectLst/>
            </a:rPr>
            <a:t>Revenue Share by Department</a:t>
          </a:r>
        </a:p>
        <a:p>
          <a:r>
            <a:rPr lang="zh-CN" altLang="en-US">
              <a:effectLst/>
            </a:rPr>
            <a:t>动态部门月度柱状图：单选按钮切换部门数据源。</a:t>
          </a:r>
        </a:p>
        <a:p>
          <a:r>
            <a:rPr lang="zh-CN" altLang="en-US" b="1"/>
            <a:t>三、整套看板完整业务流程（本案例）</a:t>
          </a:r>
        </a:p>
        <a:p>
          <a:r>
            <a:rPr lang="zh-CN" altLang="en-US">
              <a:effectLst/>
            </a:rPr>
            <a:t>客户在 </a:t>
          </a:r>
          <a:r>
            <a:rPr lang="de-DE" altLang="zh-CN">
              <a:effectLst/>
            </a:rPr>
            <a:t>RawData </a:t>
          </a:r>
          <a:r>
            <a:rPr lang="zh-CN" altLang="en-US">
              <a:effectLst/>
            </a:rPr>
            <a:t>表预留空白行录入新月份数据（数据验证限制脏数据）</a:t>
          </a:r>
        </a:p>
        <a:p>
          <a:r>
            <a:rPr lang="zh-CN" altLang="en-US">
              <a:effectLst/>
            </a:rPr>
            <a:t>点击</a:t>
          </a:r>
          <a:r>
            <a:rPr lang="de-DE" altLang="zh-CN">
              <a:effectLst/>
            </a:rPr>
            <a:t>Refresh Data</a:t>
          </a:r>
          <a:r>
            <a:rPr lang="zh-CN" altLang="en-US">
              <a:effectLst/>
            </a:rPr>
            <a:t>宏按钮（或者</a:t>
          </a:r>
          <a:r>
            <a:rPr lang="de-DE" altLang="zh-CN">
              <a:effectLst/>
            </a:rPr>
            <a:t>Data→Refresh All</a:t>
          </a:r>
          <a:r>
            <a:rPr lang="zh-CN" altLang="de-DE">
              <a:effectLst/>
            </a:rPr>
            <a:t>），</a:t>
          </a:r>
          <a:r>
            <a:rPr lang="zh-CN" altLang="en-US">
              <a:effectLst/>
            </a:rPr>
            <a:t>全部透视表刷新</a:t>
          </a:r>
        </a:p>
        <a:p>
          <a:r>
            <a:rPr lang="zh-CN" altLang="en-US">
              <a:effectLst/>
            </a:rPr>
            <a:t>左上角年份切片器，切换</a:t>
          </a:r>
          <a:r>
            <a:rPr lang="en-US" altLang="zh-CN">
              <a:effectLst/>
            </a:rPr>
            <a:t>2024/2025/2026</a:t>
          </a:r>
          <a:r>
            <a:rPr lang="zh-CN" altLang="en-US">
              <a:effectLst/>
            </a:rPr>
            <a:t>，所有</a:t>
          </a:r>
          <a:r>
            <a:rPr lang="de-DE" altLang="zh-CN">
              <a:effectLst/>
            </a:rPr>
            <a:t>KPI</a:t>
          </a:r>
          <a:r>
            <a:rPr lang="zh-CN" altLang="de-DE">
              <a:effectLst/>
            </a:rPr>
            <a:t>、</a:t>
          </a:r>
          <a:r>
            <a:rPr lang="zh-CN" altLang="en-US">
              <a:effectLst/>
            </a:rPr>
            <a:t>图表自动筛选对应年份</a:t>
          </a:r>
        </a:p>
        <a:p>
          <a:r>
            <a:rPr lang="zh-CN" altLang="en-US">
              <a:effectLst/>
            </a:rPr>
            <a:t>部门单选按钮切换</a:t>
          </a:r>
          <a:r>
            <a:rPr lang="de-DE" altLang="zh-CN">
              <a:effectLst/>
            </a:rPr>
            <a:t>Plumbing/HVAC/Electrical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动态加载对应部门月度营收数据</a:t>
          </a:r>
        </a:p>
        <a:p>
          <a:r>
            <a:rPr lang="de-DE" altLang="zh-CN">
              <a:effectLst/>
            </a:rPr>
            <a:t>KPI</a:t>
          </a:r>
          <a:r>
            <a:rPr lang="zh-CN" altLang="en-US">
              <a:effectLst/>
            </a:rPr>
            <a:t>卡片自动更新数值，</a:t>
          </a:r>
          <a:r>
            <a:rPr lang="de-DE" altLang="zh-CN">
              <a:effectLst/>
            </a:rPr>
            <a:t>YoY</a:t>
          </a:r>
          <a:r>
            <a:rPr lang="zh-CN" altLang="en-US">
              <a:effectLst/>
            </a:rPr>
            <a:t>百分比自动带上正负号，文字红绿自动变色</a:t>
          </a:r>
        </a:p>
        <a:p>
          <a:r>
            <a:rPr lang="zh-CN" altLang="en-US">
              <a:effectLst/>
            </a:rPr>
            <a:t>饼图、营销费用、来电量双轴图表同步更新。</a:t>
          </a:r>
        </a:p>
        <a:p>
          <a:r>
            <a:rPr lang="zh-CN" altLang="en-US" b="1"/>
            <a:t>四、可复用的通用模板架构（以后做任何</a:t>
          </a:r>
          <a:r>
            <a:rPr lang="de-DE" altLang="zh-CN" b="1"/>
            <a:t>Excel</a:t>
          </a:r>
          <a:r>
            <a:rPr lang="zh-CN" altLang="en-US" b="1"/>
            <a:t>看板直接套用）</a:t>
          </a:r>
        </a:p>
        <a:p>
          <a:r>
            <a:rPr lang="de-DE" altLang="zh-CN"/>
            <a:t>RawData</a:t>
          </a:r>
          <a:r>
            <a:rPr lang="zh-CN" altLang="de-DE"/>
            <a:t>（</a:t>
          </a:r>
          <a:r>
            <a:rPr lang="zh-CN" altLang="en-US"/>
            <a:t>超级表</a:t>
          </a:r>
          <a:r>
            <a:rPr lang="en-US" altLang="zh-CN"/>
            <a:t>+</a:t>
          </a:r>
          <a:r>
            <a:rPr lang="zh-CN" altLang="en-US"/>
            <a:t>数据验证，录入区） ↓ </a:t>
          </a:r>
          <a:r>
            <a:rPr lang="de-DE" altLang="zh-CN"/>
            <a:t>Calc</a:t>
          </a:r>
          <a:r>
            <a:rPr lang="zh-CN" altLang="en-US"/>
            <a:t>工作表（辅助计算、透视表、辅助单元格</a:t>
          </a:r>
          <a:r>
            <a:rPr lang="de-DE" altLang="zh-CN"/>
            <a:t>Z1</a:t>
          </a:r>
          <a:r>
            <a:rPr lang="zh-CN" altLang="de-DE"/>
            <a:t>、</a:t>
          </a:r>
          <a:r>
            <a:rPr lang="de-DE" altLang="zh-CN"/>
            <a:t>SelectedYear</a:t>
          </a:r>
          <a:r>
            <a:rPr lang="zh-CN" altLang="de-DE"/>
            <a:t>） ↓ </a:t>
          </a:r>
          <a:r>
            <a:rPr lang="de-DE" altLang="zh-CN"/>
            <a:t>Dashboard</a:t>
          </a:r>
          <a:r>
            <a:rPr lang="zh-CN" altLang="en-US"/>
            <a:t>看板页（</a:t>
          </a:r>
          <a:r>
            <a:rPr lang="de-DE" altLang="zh-CN"/>
            <a:t>KPI</a:t>
          </a:r>
          <a:r>
            <a:rPr lang="zh-CN" altLang="en-US"/>
            <a:t>卡片、切片器、单选控件、所有图表） </a:t>
          </a:r>
          <a:r>
            <a:rPr lang="zh-CN" altLang="en-US" b="1"/>
            <a:t>五、踩坑记录（以后复用避坑）</a:t>
          </a:r>
        </a:p>
        <a:p>
          <a:r>
            <a:rPr lang="zh-CN" altLang="en-US">
              <a:effectLst/>
            </a:rPr>
            <a:t>表单控件</a:t>
          </a:r>
          <a:r>
            <a:rPr lang="de-DE" altLang="zh-CN">
              <a:effectLst/>
            </a:rPr>
            <a:t>Option Button</a:t>
          </a:r>
          <a:r>
            <a:rPr lang="zh-CN" altLang="en-US">
              <a:effectLst/>
            </a:rPr>
            <a:t>输出序号</a:t>
          </a:r>
          <a:r>
            <a:rPr lang="zh-CN" altLang="en-US" b="1">
              <a:effectLst/>
            </a:rPr>
            <a:t>由创建顺序决定</a:t>
          </a:r>
          <a:r>
            <a:rPr lang="zh-CN" altLang="en-US">
              <a:effectLst/>
            </a:rPr>
            <a:t>，不能直接自定义数字；顺序错了只能删除重画。</a:t>
          </a:r>
        </a:p>
        <a:p>
          <a:r>
            <a:rPr lang="de-DE" altLang="zh-CN">
              <a:effectLst/>
            </a:rPr>
            <a:t>VBA</a:t>
          </a:r>
          <a:r>
            <a:rPr lang="zh-CN" altLang="en-US">
              <a:effectLst/>
            </a:rPr>
            <a:t>宏文件必须保存为</a:t>
          </a:r>
          <a:r>
            <a:rPr lang="en-US" altLang="zh-CN">
              <a:effectLst/>
            </a:rPr>
            <a:t>.</a:t>
          </a:r>
          <a:r>
            <a:rPr lang="de-DE" altLang="zh-CN">
              <a:effectLst/>
            </a:rPr>
            <a:t>xlsm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保存为</a:t>
          </a:r>
          <a:r>
            <a:rPr lang="de-DE" altLang="zh-CN">
              <a:effectLst/>
            </a:rPr>
            <a:t>xlsx</a:t>
          </a:r>
          <a:r>
            <a:rPr lang="zh-CN" altLang="en-US">
              <a:effectLst/>
            </a:rPr>
            <a:t>宏会直接丢失，点击按钮报找不到宏。</a:t>
          </a:r>
        </a:p>
        <a:p>
          <a:r>
            <a:rPr lang="de-DE" altLang="zh-CN">
              <a:effectLst/>
            </a:rPr>
            <a:t>Mac Excel VBA</a:t>
          </a:r>
          <a:r>
            <a:rPr lang="zh-CN" altLang="en-US">
              <a:effectLst/>
            </a:rPr>
            <a:t>兼容性不如</a:t>
          </a:r>
          <a:r>
            <a:rPr lang="de-DE" altLang="zh-CN">
              <a:effectLst/>
            </a:rPr>
            <a:t>Windows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客户如果禁用宏，按钮失效；一定要保留「打开文件自动刷新」兜底。</a:t>
          </a:r>
        </a:p>
        <a:p>
          <a:r>
            <a:rPr lang="zh-CN" altLang="en-US">
              <a:effectLst/>
            </a:rPr>
            <a:t>工作表保护时，勾选</a:t>
          </a:r>
          <a:r>
            <a:rPr lang="de-DE" altLang="zh-CN">
              <a:effectLst/>
            </a:rPr>
            <a:t>Edit objects</a:t>
          </a:r>
          <a:r>
            <a:rPr lang="zh-CN" altLang="de-DE">
              <a:effectLst/>
            </a:rPr>
            <a:t>，</a:t>
          </a:r>
          <a:r>
            <a:rPr lang="zh-CN" altLang="en-US">
              <a:effectLst/>
            </a:rPr>
            <a:t>否则切片器、单选按钮全部无法点击。</a:t>
          </a:r>
        </a:p>
        <a:p>
          <a:r>
            <a:rPr lang="de-DE" altLang="zh-CN">
              <a:effectLst/>
            </a:rPr>
            <a:t>SUMIFS</a:t>
          </a:r>
          <a:r>
            <a:rPr lang="zh-CN" altLang="en-US">
              <a:effectLst/>
            </a:rPr>
            <a:t>不能一次性多列求和，多列可以用</a:t>
          </a:r>
          <a:r>
            <a:rPr lang="de-DE" altLang="zh-CN">
              <a:effectLst/>
            </a:rPr>
            <a:t>SUMIFS</a:t>
          </a:r>
          <a:r>
            <a:rPr lang="zh-CN" altLang="en-US">
              <a:effectLst/>
            </a:rPr>
            <a:t>相加，或者增加辅助列。</a:t>
          </a:r>
        </a:p>
        <a:p>
          <a:r>
            <a:rPr lang="zh-CN" altLang="en-US"/>
            <a:t>如果你需要，我可以再把这份知识点精简成简短英文版本，放到</a:t>
          </a:r>
          <a:r>
            <a:rPr lang="de-DE" altLang="zh-CN"/>
            <a:t>Upwork</a:t>
          </a:r>
          <a:r>
            <a:rPr lang="zh-CN" altLang="en-US"/>
            <a:t>项目介绍</a:t>
          </a:r>
          <a:r>
            <a:rPr lang="en-US" altLang="zh-CN"/>
            <a:t>/</a:t>
          </a:r>
          <a:r>
            <a:rPr lang="zh-CN" altLang="en-US"/>
            <a:t>作品集说明里，展示你的技能清单。</a:t>
          </a:r>
        </a:p>
        <a:p>
          <a:endParaRPr lang="zh-CN" alt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6295.483415740739" createdVersion="7" refreshedVersion="7" minRefreshableVersion="3" recordCount="41" xr:uid="{DB10D6C7-B590-6F42-BEFD-56A90D5887F0}">
  <cacheSource type="worksheet">
    <worksheetSource name="表1"/>
  </cacheSource>
  <cacheFields count="7">
    <cacheField name="Year" numFmtId="0">
      <sharedItems containsSemiMixedTypes="0" containsString="0" containsNumber="1" containsInteger="1" minValue="2024" maxValue="2028" count="5">
        <n v="2024"/>
        <n v="2025"/>
        <n v="2026"/>
        <n v="2027"/>
        <n v="2028"/>
      </sharedItems>
    </cacheField>
    <cacheField name="Month" numFmtId="0">
      <sharedItems containsSemiMixedTypes="0" containsString="0" containsNumber="1" containsInteger="1" minValue="1" maxValue="12"/>
    </cacheField>
    <cacheField name="Total_Marketing_Cost" numFmtId="176">
      <sharedItems containsSemiMixedTypes="0" containsString="0" containsNumber="1" containsInteger="1" minValue="2800" maxValue="593560"/>
    </cacheField>
    <cacheField name="Total_Call_Volume" numFmtId="0">
      <sharedItems containsSemiMixedTypes="0" containsString="0" containsNumber="1" containsInteger="1" minValue="23" maxValue="2352"/>
    </cacheField>
    <cacheField name="Revenue_Plumbing" numFmtId="176">
      <sharedItems containsSemiMixedTypes="0" containsString="0" containsNumber="1" containsInteger="1" minValue="3421" maxValue="67498"/>
    </cacheField>
    <cacheField name="Revenue_HVAC" numFmtId="176">
      <sharedItems containsSemiMixedTypes="0" containsString="0" containsNumber="1" containsInteger="1" minValue="657" maxValue="65490"/>
    </cacheField>
    <cacheField name="Revenue_Electrical" numFmtId="176">
      <sharedItems containsSemiMixedTypes="0" containsString="0" containsNumber="1" containsInteger="1" minValue="653" maxValue="23442"/>
    </cacheField>
  </cacheFields>
  <extLst>
    <ext xmlns:x14="http://schemas.microsoft.com/office/spreadsheetml/2009/9/main" uri="{725AE2AE-9491-48be-B2B4-4EB974FC3084}">
      <x14:pivotCacheDefinition pivotCacheId="113420183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1"/>
    <n v="3201"/>
    <n v="411"/>
    <n v="22001"/>
    <n v="26000"/>
    <n v="12000"/>
  </r>
  <r>
    <x v="0"/>
    <n v="2"/>
    <n v="2800"/>
    <n v="361"/>
    <n v="19000"/>
    <n v="22000"/>
    <n v="11000"/>
  </r>
  <r>
    <x v="0"/>
    <n v="3"/>
    <n v="3100"/>
    <n v="390"/>
    <n v="21000"/>
    <n v="19000"/>
    <n v="11500"/>
  </r>
  <r>
    <x v="0"/>
    <n v="4"/>
    <n v="2900"/>
    <n v="380"/>
    <n v="20500"/>
    <n v="16000"/>
    <n v="12000"/>
  </r>
  <r>
    <x v="0"/>
    <n v="5"/>
    <n v="3400"/>
    <n v="430"/>
    <n v="23000"/>
    <n v="15000"/>
    <n v="13000"/>
  </r>
  <r>
    <x v="0"/>
    <n v="6"/>
    <n v="4200"/>
    <n v="520"/>
    <n v="25000"/>
    <n v="20000"/>
    <n v="14000"/>
  </r>
  <r>
    <x v="0"/>
    <n v="7"/>
    <n v="4800"/>
    <n v="590"/>
    <n v="27000"/>
    <n v="28000"/>
    <n v="15000"/>
  </r>
  <r>
    <x v="0"/>
    <n v="8"/>
    <n v="4500"/>
    <n v="560"/>
    <n v="26000"/>
    <n v="27000"/>
    <n v="14500"/>
  </r>
  <r>
    <x v="0"/>
    <n v="9"/>
    <n v="3600"/>
    <n v="450"/>
    <n v="23500"/>
    <n v="20000"/>
    <n v="13500"/>
  </r>
  <r>
    <x v="0"/>
    <n v="10"/>
    <n v="3500"/>
    <n v="440"/>
    <n v="22000"/>
    <n v="18000"/>
    <n v="12500"/>
  </r>
  <r>
    <x v="0"/>
    <n v="11"/>
    <n v="3800"/>
    <n v="470"/>
    <n v="21500"/>
    <n v="22000"/>
    <n v="12500"/>
  </r>
  <r>
    <x v="0"/>
    <n v="12"/>
    <n v="4600"/>
    <n v="560"/>
    <n v="24000"/>
    <n v="29000"/>
    <n v="14000"/>
  </r>
  <r>
    <x v="1"/>
    <n v="1"/>
    <n v="3502"/>
    <n v="452"/>
    <n v="24002"/>
    <n v="28000"/>
    <n v="13000"/>
  </r>
  <r>
    <x v="1"/>
    <n v="2"/>
    <n v="3100"/>
    <n v="400"/>
    <n v="21000"/>
    <n v="24000"/>
    <n v="12000"/>
  </r>
  <r>
    <x v="1"/>
    <n v="3"/>
    <n v="3400"/>
    <n v="430"/>
    <n v="23000"/>
    <n v="21000"/>
    <n v="12500"/>
  </r>
  <r>
    <x v="1"/>
    <n v="4"/>
    <n v="3200"/>
    <n v="420"/>
    <n v="22500"/>
    <n v="17500"/>
    <n v="13000"/>
  </r>
  <r>
    <x v="1"/>
    <n v="5"/>
    <n v="3700"/>
    <n v="470"/>
    <n v="25000"/>
    <n v="16500"/>
    <n v="14000"/>
  </r>
  <r>
    <x v="1"/>
    <n v="6"/>
    <n v="4600"/>
    <n v="570"/>
    <n v="27500"/>
    <n v="22000"/>
    <n v="15000"/>
  </r>
  <r>
    <x v="1"/>
    <n v="7"/>
    <n v="5200"/>
    <n v="640"/>
    <n v="29500"/>
    <n v="30000"/>
    <n v="16000"/>
  </r>
  <r>
    <x v="1"/>
    <n v="8"/>
    <n v="4900"/>
    <n v="610"/>
    <n v="28500"/>
    <n v="29000"/>
    <n v="15500"/>
  </r>
  <r>
    <x v="1"/>
    <n v="9"/>
    <n v="3900"/>
    <n v="490"/>
    <n v="25500"/>
    <n v="22000"/>
    <n v="14500"/>
  </r>
  <r>
    <x v="1"/>
    <n v="10"/>
    <n v="3800"/>
    <n v="480"/>
    <n v="24000"/>
    <n v="19500"/>
    <n v="13500"/>
  </r>
  <r>
    <x v="1"/>
    <n v="11"/>
    <n v="4100"/>
    <n v="510"/>
    <n v="23500"/>
    <n v="24000"/>
    <n v="13500"/>
  </r>
  <r>
    <x v="1"/>
    <n v="12"/>
    <n v="5000"/>
    <n v="610"/>
    <n v="26500"/>
    <n v="31500"/>
    <n v="15000"/>
  </r>
  <r>
    <x v="2"/>
    <n v="1"/>
    <n v="3803"/>
    <n v="493"/>
    <n v="26003"/>
    <n v="30000"/>
    <n v="14000"/>
  </r>
  <r>
    <x v="2"/>
    <n v="2"/>
    <n v="3400"/>
    <n v="440"/>
    <n v="23000"/>
    <n v="26000"/>
    <n v="13000"/>
  </r>
  <r>
    <x v="2"/>
    <n v="3"/>
    <n v="3700"/>
    <n v="470"/>
    <n v="25000"/>
    <n v="22500"/>
    <n v="13500"/>
  </r>
  <r>
    <x v="2"/>
    <n v="4"/>
    <n v="3500"/>
    <n v="460"/>
    <n v="24500"/>
    <n v="19000"/>
    <n v="14000"/>
  </r>
  <r>
    <x v="2"/>
    <n v="5"/>
    <n v="4000"/>
    <n v="510"/>
    <n v="27000"/>
    <n v="18000"/>
    <n v="15000"/>
  </r>
  <r>
    <x v="2"/>
    <n v="6"/>
    <n v="5000"/>
    <n v="620"/>
    <n v="30000"/>
    <n v="24000"/>
    <n v="16000"/>
  </r>
  <r>
    <x v="2"/>
    <n v="7"/>
    <n v="5600"/>
    <n v="690"/>
    <n v="32000"/>
    <n v="32500"/>
    <n v="17000"/>
  </r>
  <r>
    <x v="2"/>
    <n v="8"/>
    <n v="5300"/>
    <n v="660"/>
    <n v="31000"/>
    <n v="31500"/>
    <n v="16500"/>
  </r>
  <r>
    <x v="2"/>
    <n v="9"/>
    <n v="4200"/>
    <n v="530"/>
    <n v="27500"/>
    <n v="24000"/>
    <n v="15500"/>
  </r>
  <r>
    <x v="2"/>
    <n v="10"/>
    <n v="4100"/>
    <n v="520"/>
    <n v="26000"/>
    <n v="21000"/>
    <n v="14500"/>
  </r>
  <r>
    <x v="2"/>
    <n v="11"/>
    <n v="4400"/>
    <n v="550"/>
    <n v="25500"/>
    <n v="26000"/>
    <n v="14500"/>
  </r>
  <r>
    <x v="2"/>
    <n v="12"/>
    <n v="5400"/>
    <n v="660"/>
    <n v="29000"/>
    <n v="34000"/>
    <n v="16000"/>
  </r>
  <r>
    <x v="3"/>
    <n v="1"/>
    <n v="46754"/>
    <n v="432"/>
    <n v="67498"/>
    <n v="65490"/>
    <n v="7654"/>
  </r>
  <r>
    <x v="3"/>
    <n v="2"/>
    <n v="593560"/>
    <n v="324"/>
    <n v="7637"/>
    <n v="657"/>
    <n v="653"/>
  </r>
  <r>
    <x v="3"/>
    <n v="3"/>
    <n v="65789"/>
    <n v="231"/>
    <n v="3421"/>
    <n v="32564"/>
    <n v="3453"/>
  </r>
  <r>
    <x v="3"/>
    <n v="4"/>
    <n v="23412"/>
    <n v="23"/>
    <n v="12341"/>
    <n v="3331"/>
    <n v="1234"/>
  </r>
  <r>
    <x v="4"/>
    <n v="1"/>
    <n v="73594"/>
    <n v="2352"/>
    <n v="33634"/>
    <n v="3422"/>
    <n v="234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D46F4F-6907-1C43-B775-881D5EA1ED71}" name="数据透视表1" cacheId="81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A3:A4" firstHeaderRow="1" firstDataRow="1" firstDataCol="0" rowPageCount="1" colPageCount="1"/>
  <pivotFields count="7">
    <pivotField name="Year" axis="axisPage" multipleItemSelectionAllowed="1" showAll="0">
      <items count="6">
        <item h="1" x="0"/>
        <item h="1" x="1"/>
        <item x="2"/>
        <item h="1" x="3"/>
        <item h="1" x="4"/>
        <item t="default"/>
      </items>
    </pivotField>
    <pivotField showAll="0"/>
    <pivotField numFmtId="176" showAll="0"/>
    <pivotField dataField="1" showAll="0"/>
    <pivotField numFmtId="176" showAll="0"/>
    <pivotField numFmtId="176" showAll="0"/>
    <pivotField numFmtId="176" showAll="0"/>
  </pivotFields>
  <rowItems count="1">
    <i/>
  </rowItems>
  <colItems count="1">
    <i/>
  </colItems>
  <pageFields count="1">
    <pageField fld="0" hier="-1"/>
  </pageFields>
  <dataFields count="1">
    <dataField name="求和项:Total_Call_Volum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Year" xr10:uid="{D82AA232-9EE5-FF41-9C0B-91667455B972}" sourceName="Year">
  <pivotTables>
    <pivotTable tabId="3" name="数据透视表1"/>
  </pivotTables>
  <data>
    <tabular pivotCacheId="1134201831">
      <items count="5">
        <i x="0"/>
        <i x="1"/>
        <i x="2" s="1"/>
        <i x="3"/>
        <i x="4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Year" xr10:uid="{D9E6DAB7-5D42-3949-AD85-9D35D1B10904}" cache="切片器_Year" caption="Year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479932-86A9-DB45-BD35-2313497598B4}" name="表1" displayName="表1" ref="A1:G42" totalsRowShown="0" headerRowDxfId="9" dataDxfId="8">
  <autoFilter ref="A1:G42" xr:uid="{A2479932-86A9-DB45-BD35-2313497598B4}"/>
  <tableColumns count="7">
    <tableColumn id="1" xr3:uid="{6601AE11-CA3B-124B-9FA7-EFDBB78C73A9}" name="Year" dataDxfId="7"/>
    <tableColumn id="2" xr3:uid="{327C8D51-D77D-684C-9D68-E570C816871E}" name="Month" dataDxfId="6"/>
    <tableColumn id="3" xr3:uid="{B305CA0D-4AB7-9F42-AABE-A47B43FAF4BD}" name="Total_Marketing_Cost" dataDxfId="5"/>
    <tableColumn id="4" xr3:uid="{155509DC-A0EA-964B-993E-DE70BC10F9EE}" name="Total_Call_Volume" dataDxfId="4"/>
    <tableColumn id="5" xr3:uid="{BED0DB6C-B61B-C340-ADFE-8DE2FB8AAD17}" name="Revenue_Plumbing" dataDxfId="3"/>
    <tableColumn id="6" xr3:uid="{B3A6BF90-AD09-2A49-9F1D-7F2EF08521FE}" name="Revenue_HVAC" dataDxfId="2"/>
    <tableColumn id="7" xr3:uid="{EE0FE254-FB47-514E-8A54-104596B788DA}" name="Revenue_Electrical" dataDxfId="1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4C5F-1161-E54A-9C93-FDE3FAD79693}">
  <sheetPr codeName="Sheet1">
    <tabColor theme="8" tint="0.79998168889431442"/>
  </sheetPr>
  <dimension ref="B19"/>
  <sheetViews>
    <sheetView showGridLines="0" zoomScaleNormal="100" workbookViewId="0">
      <selection activeCell="P34" sqref="P34"/>
    </sheetView>
  </sheetViews>
  <sheetFormatPr baseColWidth="10" defaultRowHeight="15"/>
  <cols>
    <col min="1" max="16384" width="10.83203125" style="22"/>
  </cols>
  <sheetData>
    <row r="19" spans="2:2">
      <c r="B19" s="2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freshAllData">
                <anchor moveWithCells="1" sizeWithCells="1">
                  <from>
                    <xdr:col>0</xdr:col>
                    <xdr:colOff>190500</xdr:colOff>
                    <xdr:row>0</xdr:row>
                    <xdr:rowOff>177800</xdr:rowOff>
                  </from>
                  <to>
                    <xdr:col>1</xdr:col>
                    <xdr:colOff>469900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11</xdr:col>
                    <xdr:colOff>431800</xdr:colOff>
                    <xdr:row>29</xdr:row>
                    <xdr:rowOff>0</xdr:rowOff>
                  </from>
                  <to>
                    <xdr:col>12</xdr:col>
                    <xdr:colOff>749300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>
                <anchor moveWithCells="1">
                  <from>
                    <xdr:col>12</xdr:col>
                    <xdr:colOff>520700</xdr:colOff>
                    <xdr:row>28</xdr:row>
                    <xdr:rowOff>177800</xdr:rowOff>
                  </from>
                  <to>
                    <xdr:col>14</xdr:col>
                    <xdr:colOff>12700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>
                <anchor moveWithCells="1">
                  <from>
                    <xdr:col>13</xdr:col>
                    <xdr:colOff>444500</xdr:colOff>
                    <xdr:row>28</xdr:row>
                    <xdr:rowOff>177800</xdr:rowOff>
                  </from>
                  <to>
                    <xdr:col>14</xdr:col>
                    <xdr:colOff>762000</xdr:colOff>
                    <xdr:row>31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2712-F451-BD47-A430-5CB6EB02ACFE}">
  <sheetPr codeName="Sheet2"/>
  <dimension ref="A1:G43"/>
  <sheetViews>
    <sheetView tabSelected="1" workbookViewId="0">
      <pane ySplit="1" topLeftCell="A6" activePane="bottomLeft" state="frozen"/>
      <selection pane="bottomLeft" activeCell="C13" sqref="C13"/>
    </sheetView>
  </sheetViews>
  <sheetFormatPr baseColWidth="10" defaultRowHeight="15"/>
  <cols>
    <col min="1" max="7" width="23.6640625" style="3" customWidth="1"/>
    <col min="8" max="16384" width="10.83203125" style="2"/>
  </cols>
  <sheetData>
    <row r="1" spans="1:7" ht="17">
      <c r="A1" s="1" t="s">
        <v>0</v>
      </c>
      <c r="B1" s="1" t="s">
        <v>1</v>
      </c>
      <c r="C1" s="1" t="s">
        <v>2</v>
      </c>
      <c r="D1" s="1" t="s">
        <v>24</v>
      </c>
      <c r="E1" s="1" t="s">
        <v>26</v>
      </c>
      <c r="F1" s="1" t="s">
        <v>28</v>
      </c>
      <c r="G1" s="1" t="s">
        <v>30</v>
      </c>
    </row>
    <row r="2" spans="1:7">
      <c r="A2" s="3">
        <v>2024</v>
      </c>
      <c r="B2" s="3">
        <v>1</v>
      </c>
      <c r="C2" s="4">
        <v>3201</v>
      </c>
      <c r="D2" s="3">
        <v>411</v>
      </c>
      <c r="E2" s="4">
        <v>22001</v>
      </c>
      <c r="F2" s="4">
        <v>26000</v>
      </c>
      <c r="G2" s="4">
        <v>12000</v>
      </c>
    </row>
    <row r="3" spans="1:7">
      <c r="A3" s="3">
        <v>2024</v>
      </c>
      <c r="B3" s="3">
        <v>2</v>
      </c>
      <c r="C3" s="4">
        <v>2800</v>
      </c>
      <c r="D3" s="3">
        <v>361</v>
      </c>
      <c r="E3" s="4">
        <v>19000</v>
      </c>
      <c r="F3" s="4">
        <v>22000</v>
      </c>
      <c r="G3" s="4">
        <v>11000</v>
      </c>
    </row>
    <row r="4" spans="1:7">
      <c r="A4" s="3">
        <v>2024</v>
      </c>
      <c r="B4" s="3">
        <v>3</v>
      </c>
      <c r="C4" s="4">
        <v>3100</v>
      </c>
      <c r="D4" s="3">
        <v>390</v>
      </c>
      <c r="E4" s="4">
        <v>21000</v>
      </c>
      <c r="F4" s="4">
        <v>19000</v>
      </c>
      <c r="G4" s="4">
        <v>11500</v>
      </c>
    </row>
    <row r="5" spans="1:7">
      <c r="A5" s="3">
        <v>2024</v>
      </c>
      <c r="B5" s="3">
        <v>4</v>
      </c>
      <c r="C5" s="4">
        <v>2900</v>
      </c>
      <c r="D5" s="3">
        <v>380</v>
      </c>
      <c r="E5" s="4">
        <v>20500</v>
      </c>
      <c r="F5" s="4">
        <v>16000</v>
      </c>
      <c r="G5" s="4">
        <v>12000</v>
      </c>
    </row>
    <row r="6" spans="1:7">
      <c r="A6" s="3">
        <v>2024</v>
      </c>
      <c r="B6" s="3">
        <v>5</v>
      </c>
      <c r="C6" s="4">
        <v>3400</v>
      </c>
      <c r="D6" s="3">
        <v>430</v>
      </c>
      <c r="E6" s="4">
        <v>23000</v>
      </c>
      <c r="F6" s="4">
        <v>15000</v>
      </c>
      <c r="G6" s="4">
        <v>13000</v>
      </c>
    </row>
    <row r="7" spans="1:7">
      <c r="A7" s="3">
        <v>2024</v>
      </c>
      <c r="B7" s="3">
        <v>6</v>
      </c>
      <c r="C7" s="4">
        <v>4200</v>
      </c>
      <c r="D7" s="3">
        <v>520</v>
      </c>
      <c r="E7" s="4">
        <v>25000</v>
      </c>
      <c r="F7" s="4">
        <v>20000</v>
      </c>
      <c r="G7" s="4">
        <v>14000</v>
      </c>
    </row>
    <row r="8" spans="1:7">
      <c r="A8" s="3">
        <v>2024</v>
      </c>
      <c r="B8" s="3">
        <v>7</v>
      </c>
      <c r="C8" s="4">
        <v>4800</v>
      </c>
      <c r="D8" s="3">
        <v>590</v>
      </c>
      <c r="E8" s="4">
        <v>27000</v>
      </c>
      <c r="F8" s="4">
        <v>28000</v>
      </c>
      <c r="G8" s="4">
        <v>15000</v>
      </c>
    </row>
    <row r="9" spans="1:7">
      <c r="A9" s="3">
        <v>2024</v>
      </c>
      <c r="B9" s="3">
        <v>8</v>
      </c>
      <c r="C9" s="4">
        <v>4500</v>
      </c>
      <c r="D9" s="3">
        <v>560</v>
      </c>
      <c r="E9" s="4">
        <v>26000</v>
      </c>
      <c r="F9" s="4">
        <v>27000</v>
      </c>
      <c r="G9" s="4">
        <v>14500</v>
      </c>
    </row>
    <row r="10" spans="1:7">
      <c r="A10" s="3">
        <v>2024</v>
      </c>
      <c r="B10" s="3">
        <v>9</v>
      </c>
      <c r="C10" s="4">
        <v>3600</v>
      </c>
      <c r="D10" s="3">
        <v>450</v>
      </c>
      <c r="E10" s="4">
        <v>23500</v>
      </c>
      <c r="F10" s="4">
        <v>20000</v>
      </c>
      <c r="G10" s="4">
        <v>13500</v>
      </c>
    </row>
    <row r="11" spans="1:7">
      <c r="A11" s="3">
        <v>2024</v>
      </c>
      <c r="B11" s="3">
        <v>10</v>
      </c>
      <c r="C11" s="4">
        <v>3500</v>
      </c>
      <c r="D11" s="3">
        <v>440</v>
      </c>
      <c r="E11" s="4">
        <v>22000</v>
      </c>
      <c r="F11" s="4">
        <v>18000</v>
      </c>
      <c r="G11" s="4">
        <v>12500</v>
      </c>
    </row>
    <row r="12" spans="1:7">
      <c r="A12" s="3">
        <v>2024</v>
      </c>
      <c r="B12" s="3">
        <v>11</v>
      </c>
      <c r="C12" s="4">
        <v>3800</v>
      </c>
      <c r="D12" s="3">
        <v>470</v>
      </c>
      <c r="E12" s="4">
        <v>21500</v>
      </c>
      <c r="F12" s="4">
        <v>22000</v>
      </c>
      <c r="G12" s="4">
        <v>12500</v>
      </c>
    </row>
    <row r="13" spans="1:7">
      <c r="A13" s="3">
        <v>2024</v>
      </c>
      <c r="B13" s="3">
        <v>12</v>
      </c>
      <c r="C13" s="4">
        <v>4600</v>
      </c>
      <c r="D13" s="3">
        <v>560</v>
      </c>
      <c r="E13" s="4">
        <v>24000</v>
      </c>
      <c r="F13" s="4">
        <v>29000</v>
      </c>
      <c r="G13" s="4">
        <v>14000</v>
      </c>
    </row>
    <row r="14" spans="1:7">
      <c r="A14" s="3">
        <v>2025</v>
      </c>
      <c r="B14" s="3">
        <v>1</v>
      </c>
      <c r="C14" s="4">
        <v>3502</v>
      </c>
      <c r="D14" s="3">
        <v>452</v>
      </c>
      <c r="E14" s="4">
        <v>24002</v>
      </c>
      <c r="F14" s="4">
        <v>28000</v>
      </c>
      <c r="G14" s="4">
        <v>13000</v>
      </c>
    </row>
    <row r="15" spans="1:7">
      <c r="A15" s="3">
        <v>2025</v>
      </c>
      <c r="B15" s="3">
        <v>2</v>
      </c>
      <c r="C15" s="4">
        <v>3100</v>
      </c>
      <c r="D15" s="3">
        <v>400</v>
      </c>
      <c r="E15" s="4">
        <v>21000</v>
      </c>
      <c r="F15" s="4">
        <v>24000</v>
      </c>
      <c r="G15" s="4">
        <v>12000</v>
      </c>
    </row>
    <row r="16" spans="1:7">
      <c r="A16" s="3">
        <v>2025</v>
      </c>
      <c r="B16" s="3">
        <v>3</v>
      </c>
      <c r="C16" s="4">
        <v>3400</v>
      </c>
      <c r="D16" s="3">
        <v>430</v>
      </c>
      <c r="E16" s="4">
        <v>23000</v>
      </c>
      <c r="F16" s="4">
        <v>21000</v>
      </c>
      <c r="G16" s="4">
        <v>12500</v>
      </c>
    </row>
    <row r="17" spans="1:7">
      <c r="A17" s="3">
        <v>2025</v>
      </c>
      <c r="B17" s="3">
        <v>4</v>
      </c>
      <c r="C17" s="4">
        <v>3200</v>
      </c>
      <c r="D17" s="3">
        <v>420</v>
      </c>
      <c r="E17" s="4">
        <v>22500</v>
      </c>
      <c r="F17" s="4">
        <v>17500</v>
      </c>
      <c r="G17" s="4">
        <v>13000</v>
      </c>
    </row>
    <row r="18" spans="1:7">
      <c r="A18" s="3">
        <v>2025</v>
      </c>
      <c r="B18" s="3">
        <v>5</v>
      </c>
      <c r="C18" s="4">
        <v>3700</v>
      </c>
      <c r="D18" s="3">
        <v>470</v>
      </c>
      <c r="E18" s="4">
        <v>25000</v>
      </c>
      <c r="F18" s="4">
        <v>16500</v>
      </c>
      <c r="G18" s="4">
        <v>14000</v>
      </c>
    </row>
    <row r="19" spans="1:7">
      <c r="A19" s="3">
        <v>2025</v>
      </c>
      <c r="B19" s="3">
        <v>6</v>
      </c>
      <c r="C19" s="4">
        <v>4600</v>
      </c>
      <c r="D19" s="3">
        <v>570</v>
      </c>
      <c r="E19" s="4">
        <v>27500</v>
      </c>
      <c r="F19" s="4">
        <v>22000</v>
      </c>
      <c r="G19" s="4">
        <v>15000</v>
      </c>
    </row>
    <row r="20" spans="1:7">
      <c r="A20" s="3">
        <v>2025</v>
      </c>
      <c r="B20" s="3">
        <v>7</v>
      </c>
      <c r="C20" s="4">
        <v>5200</v>
      </c>
      <c r="D20" s="3">
        <v>640</v>
      </c>
      <c r="E20" s="4">
        <v>29500</v>
      </c>
      <c r="F20" s="4">
        <v>30000</v>
      </c>
      <c r="G20" s="4">
        <v>16000</v>
      </c>
    </row>
    <row r="21" spans="1:7">
      <c r="A21" s="3">
        <v>2025</v>
      </c>
      <c r="B21" s="3">
        <v>8</v>
      </c>
      <c r="C21" s="4">
        <v>4900</v>
      </c>
      <c r="D21" s="3">
        <v>610</v>
      </c>
      <c r="E21" s="4">
        <v>28500</v>
      </c>
      <c r="F21" s="4">
        <v>29000</v>
      </c>
      <c r="G21" s="4">
        <v>15500</v>
      </c>
    </row>
    <row r="22" spans="1:7">
      <c r="A22" s="3">
        <v>2025</v>
      </c>
      <c r="B22" s="3">
        <v>9</v>
      </c>
      <c r="C22" s="4">
        <v>3900</v>
      </c>
      <c r="D22" s="3">
        <v>490</v>
      </c>
      <c r="E22" s="4">
        <v>25500</v>
      </c>
      <c r="F22" s="4">
        <v>22000</v>
      </c>
      <c r="G22" s="4">
        <v>14500</v>
      </c>
    </row>
    <row r="23" spans="1:7">
      <c r="A23" s="3">
        <v>2025</v>
      </c>
      <c r="B23" s="3">
        <v>10</v>
      </c>
      <c r="C23" s="4">
        <v>3800</v>
      </c>
      <c r="D23" s="3">
        <v>480</v>
      </c>
      <c r="E23" s="4">
        <v>24000</v>
      </c>
      <c r="F23" s="4">
        <v>19500</v>
      </c>
      <c r="G23" s="4">
        <v>13500</v>
      </c>
    </row>
    <row r="24" spans="1:7">
      <c r="A24" s="3">
        <v>2025</v>
      </c>
      <c r="B24" s="3">
        <v>11</v>
      </c>
      <c r="C24" s="4">
        <v>4100</v>
      </c>
      <c r="D24" s="3">
        <v>510</v>
      </c>
      <c r="E24" s="4">
        <v>23500</v>
      </c>
      <c r="F24" s="4">
        <v>24000</v>
      </c>
      <c r="G24" s="4">
        <v>13500</v>
      </c>
    </row>
    <row r="25" spans="1:7">
      <c r="A25" s="3">
        <v>2025</v>
      </c>
      <c r="B25" s="3">
        <v>12</v>
      </c>
      <c r="C25" s="4">
        <v>5000</v>
      </c>
      <c r="D25" s="3">
        <v>610</v>
      </c>
      <c r="E25" s="4">
        <v>26500</v>
      </c>
      <c r="F25" s="4">
        <v>31500</v>
      </c>
      <c r="G25" s="4">
        <v>15000</v>
      </c>
    </row>
    <row r="26" spans="1:7">
      <c r="A26" s="3">
        <v>2026</v>
      </c>
      <c r="B26" s="3">
        <v>1</v>
      </c>
      <c r="C26" s="4">
        <v>3803</v>
      </c>
      <c r="D26" s="3">
        <v>493</v>
      </c>
      <c r="E26" s="4">
        <v>26003</v>
      </c>
      <c r="F26" s="4">
        <v>30000</v>
      </c>
      <c r="G26" s="4">
        <v>14000</v>
      </c>
    </row>
    <row r="27" spans="1:7">
      <c r="A27" s="3">
        <v>2026</v>
      </c>
      <c r="B27" s="3">
        <v>2</v>
      </c>
      <c r="C27" s="4">
        <v>3400</v>
      </c>
      <c r="D27" s="3">
        <v>440</v>
      </c>
      <c r="E27" s="4">
        <v>23000</v>
      </c>
      <c r="F27" s="4">
        <v>26000</v>
      </c>
      <c r="G27" s="4">
        <v>13000</v>
      </c>
    </row>
    <row r="28" spans="1:7">
      <c r="A28" s="3">
        <v>2026</v>
      </c>
      <c r="B28" s="3">
        <v>3</v>
      </c>
      <c r="C28" s="4">
        <v>3700</v>
      </c>
      <c r="D28" s="3">
        <v>470</v>
      </c>
      <c r="E28" s="4">
        <v>25000</v>
      </c>
      <c r="F28" s="4">
        <v>22500</v>
      </c>
      <c r="G28" s="4">
        <v>13500</v>
      </c>
    </row>
    <row r="29" spans="1:7">
      <c r="A29" s="3">
        <v>2026</v>
      </c>
      <c r="B29" s="3">
        <v>4</v>
      </c>
      <c r="C29" s="4">
        <v>3500</v>
      </c>
      <c r="D29" s="3">
        <v>460</v>
      </c>
      <c r="E29" s="4">
        <v>24500</v>
      </c>
      <c r="F29" s="4">
        <v>19000</v>
      </c>
      <c r="G29" s="4">
        <v>14000</v>
      </c>
    </row>
    <row r="30" spans="1:7">
      <c r="A30" s="3">
        <v>2026</v>
      </c>
      <c r="B30" s="3">
        <v>5</v>
      </c>
      <c r="C30" s="4">
        <v>4000</v>
      </c>
      <c r="D30" s="3">
        <v>510</v>
      </c>
      <c r="E30" s="4">
        <v>27000</v>
      </c>
      <c r="F30" s="4">
        <v>18000</v>
      </c>
      <c r="G30" s="4">
        <v>15000</v>
      </c>
    </row>
    <row r="31" spans="1:7">
      <c r="A31" s="3">
        <v>2026</v>
      </c>
      <c r="B31" s="3">
        <v>6</v>
      </c>
      <c r="C31" s="4">
        <v>5000</v>
      </c>
      <c r="D31" s="3">
        <v>620</v>
      </c>
      <c r="E31" s="4">
        <v>30000</v>
      </c>
      <c r="F31" s="4">
        <v>24000</v>
      </c>
      <c r="G31" s="4">
        <v>16000</v>
      </c>
    </row>
    <row r="32" spans="1:7">
      <c r="A32" s="3">
        <v>2026</v>
      </c>
      <c r="B32" s="3">
        <v>7</v>
      </c>
      <c r="C32" s="4">
        <v>5600</v>
      </c>
      <c r="D32" s="3">
        <v>690</v>
      </c>
      <c r="E32" s="4">
        <v>32000</v>
      </c>
      <c r="F32" s="4">
        <v>32500</v>
      </c>
      <c r="G32" s="4">
        <v>17000</v>
      </c>
    </row>
    <row r="33" spans="1:7">
      <c r="A33" s="3">
        <v>2026</v>
      </c>
      <c r="B33" s="3">
        <v>8</v>
      </c>
      <c r="C33" s="4">
        <v>5300</v>
      </c>
      <c r="D33" s="3">
        <v>660</v>
      </c>
      <c r="E33" s="4">
        <v>31000</v>
      </c>
      <c r="F33" s="4">
        <v>31500</v>
      </c>
      <c r="G33" s="4">
        <v>16500</v>
      </c>
    </row>
    <row r="34" spans="1:7">
      <c r="A34" s="3">
        <v>2026</v>
      </c>
      <c r="B34" s="3">
        <v>9</v>
      </c>
      <c r="C34" s="4">
        <v>4200</v>
      </c>
      <c r="D34" s="3">
        <v>530</v>
      </c>
      <c r="E34" s="4">
        <v>27500</v>
      </c>
      <c r="F34" s="4">
        <v>24000</v>
      </c>
      <c r="G34" s="4">
        <v>15500</v>
      </c>
    </row>
    <row r="35" spans="1:7">
      <c r="A35" s="3">
        <v>2026</v>
      </c>
      <c r="B35" s="3">
        <v>10</v>
      </c>
      <c r="C35" s="4">
        <v>4100</v>
      </c>
      <c r="D35" s="3">
        <v>520</v>
      </c>
      <c r="E35" s="4">
        <v>26000</v>
      </c>
      <c r="F35" s="4">
        <v>21000</v>
      </c>
      <c r="G35" s="4">
        <v>14500</v>
      </c>
    </row>
    <row r="36" spans="1:7">
      <c r="A36" s="3">
        <v>2026</v>
      </c>
      <c r="B36" s="3">
        <v>11</v>
      </c>
      <c r="C36" s="4">
        <v>4400</v>
      </c>
      <c r="D36" s="3">
        <v>550</v>
      </c>
      <c r="E36" s="4">
        <v>25500</v>
      </c>
      <c r="F36" s="4">
        <v>26000</v>
      </c>
      <c r="G36" s="4">
        <v>14500</v>
      </c>
    </row>
    <row r="37" spans="1:7">
      <c r="A37" s="3">
        <v>2026</v>
      </c>
      <c r="B37" s="3">
        <v>12</v>
      </c>
      <c r="C37" s="4">
        <v>5400</v>
      </c>
      <c r="D37" s="3">
        <v>660</v>
      </c>
      <c r="E37" s="4">
        <v>29000</v>
      </c>
      <c r="F37" s="4">
        <v>34000</v>
      </c>
      <c r="G37" s="4">
        <v>16000</v>
      </c>
    </row>
    <row r="38" spans="1:7">
      <c r="A38" s="3">
        <v>2027</v>
      </c>
      <c r="B38" s="3">
        <v>1</v>
      </c>
      <c r="C38" s="4">
        <v>46754</v>
      </c>
      <c r="D38" s="3">
        <v>432</v>
      </c>
      <c r="E38" s="4">
        <v>67498</v>
      </c>
      <c r="F38" s="4">
        <v>65490</v>
      </c>
      <c r="G38" s="4">
        <v>7654</v>
      </c>
    </row>
    <row r="39" spans="1:7">
      <c r="A39" s="3">
        <v>2027</v>
      </c>
      <c r="B39" s="3">
        <v>2</v>
      </c>
      <c r="C39" s="4">
        <v>593560</v>
      </c>
      <c r="D39" s="3">
        <v>324</v>
      </c>
      <c r="E39" s="4">
        <v>7637</v>
      </c>
      <c r="F39" s="4">
        <v>657</v>
      </c>
      <c r="G39" s="4">
        <v>653</v>
      </c>
    </row>
    <row r="40" spans="1:7">
      <c r="A40" s="3">
        <v>2027</v>
      </c>
      <c r="B40" s="3">
        <v>3</v>
      </c>
      <c r="C40" s="4">
        <v>65789</v>
      </c>
      <c r="D40" s="3">
        <v>231</v>
      </c>
      <c r="E40" s="4">
        <v>3421</v>
      </c>
      <c r="F40" s="4">
        <v>32564</v>
      </c>
      <c r="G40" s="4">
        <v>3453</v>
      </c>
    </row>
    <row r="41" spans="1:7">
      <c r="A41" s="3">
        <v>2027</v>
      </c>
      <c r="B41" s="3">
        <v>4</v>
      </c>
      <c r="C41" s="4">
        <v>23412</v>
      </c>
      <c r="D41" s="3">
        <v>23</v>
      </c>
      <c r="E41" s="4">
        <v>12341</v>
      </c>
      <c r="F41" s="4">
        <v>3331</v>
      </c>
      <c r="G41" s="4">
        <v>1234</v>
      </c>
    </row>
    <row r="42" spans="1:7">
      <c r="A42" s="3">
        <v>2028</v>
      </c>
      <c r="B42" s="3">
        <v>1</v>
      </c>
      <c r="C42" s="4">
        <v>73594</v>
      </c>
      <c r="D42" s="3">
        <v>2352</v>
      </c>
      <c r="E42" s="4">
        <v>33634</v>
      </c>
      <c r="F42" s="4">
        <v>3422</v>
      </c>
      <c r="G42" s="4">
        <v>23442</v>
      </c>
    </row>
    <row r="43" spans="1:7">
      <c r="C43" s="4"/>
      <c r="E43" s="4"/>
      <c r="F43" s="4"/>
      <c r="G43" s="4"/>
    </row>
  </sheetData>
  <sheetProtection insertColumns="0"/>
  <phoneticPr fontId="2" type="noConversion"/>
  <dataValidations count="7">
    <dataValidation type="whole" allowBlank="1" showInputMessage="1" showErrorMessage="1" errorTitle="Invalid Month" error="Month must be an integer from 1 to 12 only." promptTitle="Month" prompt="Enter month number 1–12. 1=Jan, 12=Dec." sqref="B2:B42" xr:uid="{825A0C87-8CAA-B34F-A405-2B79C1D49708}">
      <formula1>1</formula1>
      <formula2>12</formula2>
    </dataValidation>
    <dataValidation type="decimal" operator="greaterThanOrEqual" allowBlank="1" showInputMessage="1" showErrorMessage="1" errorTitle="Invalid Revenue" error="Revenue cannot be negative. Enter zero or positive value." promptTitle="Electrical Revenue" prompt="Monthly revenue for electrical service in USD." sqref="G2:G42" xr:uid="{92DF4E43-5CB4-B445-9F1B-55C09C3C30AA}">
      <formula1>0</formula1>
    </dataValidation>
    <dataValidation type="whole" operator="greaterThanOrEqual" allowBlank="1" showInputMessage="1" showErrorMessage="1" errorTitle="Invalid Call Count" error="Call volume must be a non-negative whole number." promptTitle="Total Call Volume" prompt="Enter total number of incoming calls this month (whole number)." sqref="D2:D42" xr:uid="{B9342716-0DF2-2D4B-9C61-42EF252A6491}">
      <formula1>0</formula1>
    </dataValidation>
    <dataValidation type="whole" allowBlank="1" showInputMessage="1" showErrorMessage="1" errorTitle="Invalid Year" error="Year must be a whole number between 2000 and 2099." promptTitle="Year" prompt="Enter 4-digit year, e.g. 2025." sqref="A2:A42" xr:uid="{DAF90EBD-BB62-9E4A-A71D-83B1F2581E74}">
      <formula1>2000</formula1>
      <formula2>2099</formula2>
    </dataValidation>
    <dataValidation type="decimal" operator="greaterThanOrEqual" allowBlank="1" showInputMessage="1" showErrorMessage="1" errorTitle="Invalid Cost" error="Cost cannot be negative. Please enter zero or a positive number." promptTitle="Total Marketing Cost" prompt="Enter total monthly marketing spend in USD." sqref="C2:C42" xr:uid="{2FF6038B-C055-0242-AC36-65467733760A}">
      <formula1>0</formula1>
    </dataValidation>
    <dataValidation type="decimal" operator="greaterThanOrEqual" allowBlank="1" showInputMessage="1" showErrorMessage="1" errorTitle="Invalid Revenue" error="Revenue cannot be negative. Enter zero or positive value." promptTitle="Plumbing Revenue" prompt="Monthly revenue for plumbing service in USD." sqref="E2:E42" xr:uid="{8B4BF551-78E2-1D42-9895-E17902D503BB}">
      <formula1>0</formula1>
    </dataValidation>
    <dataValidation type="decimal" operator="greaterThanOrEqual" allowBlank="1" showInputMessage="1" showErrorMessage="1" errorTitle="Invalid Revenue" error="Revenue cannot be negative. Enter zero or positive value." promptTitle="HVAC Revenue" prompt="Monthly revenue for HVAC service in USD." sqref="F2:F42" xr:uid="{5710CD73-77EF-DB47-8C4D-859151C5C386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5DB1D-0199-6244-A1A7-F3378459CE79}">
  <sheetPr codeName="Sheet3"/>
  <dimension ref="A1:AX102"/>
  <sheetViews>
    <sheetView topLeftCell="A6" workbookViewId="0">
      <selection activeCell="D97" sqref="D97"/>
    </sheetView>
  </sheetViews>
  <sheetFormatPr baseColWidth="10" defaultRowHeight="15"/>
  <cols>
    <col min="1" max="1" width="16.1640625" customWidth="1"/>
    <col min="2" max="2" width="15.6640625" customWidth="1"/>
    <col min="3" max="11" width="14.33203125" customWidth="1"/>
    <col min="12" max="50" width="10.83203125" style="20"/>
  </cols>
  <sheetData>
    <row r="1" spans="1:11">
      <c r="A1" s="8" t="s">
        <v>4</v>
      </c>
      <c r="B1" s="9">
        <f>PivotYear</f>
        <v>2026</v>
      </c>
      <c r="C1" s="9"/>
      <c r="D1" s="9"/>
      <c r="E1" s="9"/>
      <c r="F1" s="9"/>
      <c r="G1" s="9"/>
      <c r="H1" s="9"/>
      <c r="I1" s="9"/>
      <c r="J1" s="9"/>
      <c r="K1" s="9"/>
    </row>
    <row r="2" spans="1:11">
      <c r="A2" s="8" t="s">
        <v>5</v>
      </c>
      <c r="B2" s="9">
        <f>SelectedYear-1</f>
        <v>2025</v>
      </c>
      <c r="C2" s="9"/>
      <c r="D2" s="9"/>
      <c r="E2" s="9"/>
      <c r="F2" s="9"/>
      <c r="G2" s="9"/>
      <c r="H2" s="9"/>
      <c r="I2" s="9"/>
      <c r="J2" s="9"/>
      <c r="K2" s="9"/>
    </row>
    <row r="4" spans="1:11">
      <c r="A4" s="19" t="s">
        <v>13</v>
      </c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11">
      <c r="A5" s="10" t="s">
        <v>1</v>
      </c>
      <c r="B5" s="10" t="s">
        <v>23</v>
      </c>
      <c r="C5" s="10" t="s">
        <v>6</v>
      </c>
      <c r="D5" s="10" t="s">
        <v>18</v>
      </c>
      <c r="E5" s="10"/>
      <c r="F5" s="10"/>
      <c r="G5" s="10"/>
      <c r="H5" s="10"/>
      <c r="I5" s="10"/>
      <c r="J5" s="10"/>
      <c r="K5" s="10"/>
    </row>
    <row r="6" spans="1:11">
      <c r="A6" s="11">
        <v>1</v>
      </c>
      <c r="B6" s="11">
        <f>SUMPRODUCT((RawData!$A$2:$A$42=SelectedYear)*(RawData!$B$2:$B$42=A6)*RawData!$C$2:$C$42)</f>
        <v>3803</v>
      </c>
      <c r="C6" s="11">
        <f>SUMPRODUCT((RawData!$A$2:$A$37=PriorYear)*(RawData!$B$2:$B$37=A6)*RawData!$C$2:$C$37)</f>
        <v>3502</v>
      </c>
      <c r="D6" s="21">
        <f>(B6-C6)/C6</f>
        <v>8.5950885208452316E-2</v>
      </c>
      <c r="E6" s="11"/>
      <c r="F6" s="11"/>
      <c r="G6" s="11"/>
      <c r="H6" s="11"/>
      <c r="I6" s="11"/>
      <c r="J6" s="11"/>
      <c r="K6" s="11"/>
    </row>
    <row r="7" spans="1:11">
      <c r="A7" s="11">
        <v>2</v>
      </c>
      <c r="B7" s="11">
        <f>SUMPRODUCT((RawData!$A$2:$A$42=SelectedYear)*(RawData!$B$2:$B$42=A7)*RawData!$C$2:$C$42)</f>
        <v>3400</v>
      </c>
      <c r="C7" s="11">
        <f>SUMPRODUCT((RawData!$A$2:$A$37=PriorYear)*(RawData!$B$2:$B$37=A7)*RawData!$C$2:$C$37)</f>
        <v>3100</v>
      </c>
      <c r="D7" s="21">
        <f t="shared" ref="D7:D17" si="0">(B7-C7)/C7</f>
        <v>9.6774193548387094E-2</v>
      </c>
      <c r="E7" s="11"/>
      <c r="F7" s="11"/>
      <c r="G7" s="11"/>
      <c r="H7" s="11"/>
      <c r="I7" s="11"/>
      <c r="J7" s="11"/>
      <c r="K7" s="11"/>
    </row>
    <row r="8" spans="1:11">
      <c r="A8" s="11">
        <v>3</v>
      </c>
      <c r="B8" s="11">
        <f>SUMPRODUCT((RawData!$A$2:$A$42=SelectedYear)*(RawData!$B$2:$B$42=A8)*RawData!$C$2:$C$42)</f>
        <v>3700</v>
      </c>
      <c r="C8" s="11">
        <f>SUMPRODUCT((RawData!$A$2:$A$37=PriorYear)*(RawData!$B$2:$B$37=A8)*RawData!$C$2:$C$37)</f>
        <v>3400</v>
      </c>
      <c r="D8" s="21">
        <f t="shared" si="0"/>
        <v>8.8235294117647065E-2</v>
      </c>
      <c r="E8" s="11"/>
      <c r="F8" s="11"/>
      <c r="G8" s="11"/>
      <c r="H8" s="11"/>
      <c r="I8" s="11"/>
      <c r="J8" s="11"/>
      <c r="K8" s="11"/>
    </row>
    <row r="9" spans="1:11">
      <c r="A9" s="11">
        <v>4</v>
      </c>
      <c r="B9" s="11">
        <f>SUMPRODUCT((RawData!$A$2:$A$42=SelectedYear)*(RawData!$B$2:$B$42=A9)*RawData!$C$2:$C$42)</f>
        <v>3500</v>
      </c>
      <c r="C9" s="11">
        <f>SUMPRODUCT((RawData!$A$2:$A$37=PriorYear)*(RawData!$B$2:$B$37=A9)*RawData!$C$2:$C$37)</f>
        <v>3200</v>
      </c>
      <c r="D9" s="21">
        <f t="shared" si="0"/>
        <v>9.375E-2</v>
      </c>
      <c r="E9" s="11"/>
      <c r="F9" s="11"/>
      <c r="G9" s="11"/>
      <c r="H9" s="11"/>
      <c r="I9" s="11"/>
      <c r="J9" s="11"/>
      <c r="K9" s="11"/>
    </row>
    <row r="10" spans="1:11">
      <c r="A10" s="11">
        <v>5</v>
      </c>
      <c r="B10" s="11">
        <f>SUMPRODUCT((RawData!$A$2:$A$42=SelectedYear)*(RawData!$B$2:$B$42=A10)*RawData!$C$2:$C$42)</f>
        <v>4000</v>
      </c>
      <c r="C10" s="11">
        <f>SUMPRODUCT((RawData!$A$2:$A$37=PriorYear)*(RawData!$B$2:$B$37=A10)*RawData!$C$2:$C$37)</f>
        <v>3700</v>
      </c>
      <c r="D10" s="21">
        <f t="shared" si="0"/>
        <v>8.1081081081081086E-2</v>
      </c>
      <c r="E10" s="11"/>
      <c r="F10" s="11"/>
      <c r="G10" s="11"/>
      <c r="H10" s="11"/>
      <c r="I10" s="11"/>
      <c r="J10" s="11"/>
      <c r="K10" s="11"/>
    </row>
    <row r="11" spans="1:11">
      <c r="A11" s="11">
        <v>6</v>
      </c>
      <c r="B11" s="11">
        <f>SUMPRODUCT((RawData!$A$2:$A$42=SelectedYear)*(RawData!$B$2:$B$42=A11)*RawData!$C$2:$C$42)</f>
        <v>5000</v>
      </c>
      <c r="C11" s="11">
        <f>SUMPRODUCT((RawData!$A$2:$A$37=PriorYear)*(RawData!$B$2:$B$37=A11)*RawData!$C$2:$C$37)</f>
        <v>4600</v>
      </c>
      <c r="D11" s="21">
        <f t="shared" si="0"/>
        <v>8.6956521739130432E-2</v>
      </c>
      <c r="E11" s="11"/>
      <c r="F11" s="11"/>
      <c r="G11" s="11"/>
      <c r="H11" s="11"/>
      <c r="I11" s="11"/>
      <c r="J11" s="11"/>
      <c r="K11" s="11"/>
    </row>
    <row r="12" spans="1:11">
      <c r="A12" s="11">
        <v>7</v>
      </c>
      <c r="B12" s="11">
        <f>SUMPRODUCT((RawData!$A$2:$A$42=SelectedYear)*(RawData!$B$2:$B$42=A12)*RawData!$C$2:$C$42)</f>
        <v>5600</v>
      </c>
      <c r="C12" s="11">
        <f>SUMPRODUCT((RawData!$A$2:$A$37=PriorYear)*(RawData!$B$2:$B$37=A12)*RawData!$C$2:$C$37)</f>
        <v>5200</v>
      </c>
      <c r="D12" s="21">
        <f t="shared" si="0"/>
        <v>7.6923076923076927E-2</v>
      </c>
      <c r="E12" s="11"/>
      <c r="F12" s="11"/>
      <c r="G12" s="11"/>
      <c r="H12" s="11"/>
      <c r="I12" s="11"/>
      <c r="J12" s="11"/>
      <c r="K12" s="11"/>
    </row>
    <row r="13" spans="1:11">
      <c r="A13" s="11">
        <v>8</v>
      </c>
      <c r="B13" s="11">
        <f>SUMPRODUCT((RawData!$A$2:$A$42=SelectedYear)*(RawData!$B$2:$B$42=A13)*RawData!$C$2:$C$42)</f>
        <v>5300</v>
      </c>
      <c r="C13" s="11">
        <f>SUMPRODUCT((RawData!$A$2:$A$37=PriorYear)*(RawData!$B$2:$B$37=A13)*RawData!$C$2:$C$37)</f>
        <v>4900</v>
      </c>
      <c r="D13" s="21">
        <f t="shared" si="0"/>
        <v>8.1632653061224483E-2</v>
      </c>
      <c r="E13" s="11"/>
      <c r="F13" s="11"/>
      <c r="G13" s="11"/>
      <c r="H13" s="11"/>
      <c r="I13" s="11"/>
      <c r="J13" s="11"/>
      <c r="K13" s="11"/>
    </row>
    <row r="14" spans="1:11">
      <c r="A14" s="11">
        <v>9</v>
      </c>
      <c r="B14" s="11">
        <f>SUMPRODUCT((RawData!$A$2:$A$42=SelectedYear)*(RawData!$B$2:$B$42=A14)*RawData!$C$2:$C$42)</f>
        <v>4200</v>
      </c>
      <c r="C14" s="11">
        <f>SUMPRODUCT((RawData!$A$2:$A$37=PriorYear)*(RawData!$B$2:$B$37=A14)*RawData!$C$2:$C$37)</f>
        <v>3900</v>
      </c>
      <c r="D14" s="21">
        <f t="shared" si="0"/>
        <v>7.6923076923076927E-2</v>
      </c>
      <c r="E14" s="11"/>
      <c r="F14" s="11"/>
      <c r="G14" s="11"/>
      <c r="H14" s="11"/>
      <c r="I14" s="11"/>
      <c r="J14" s="11"/>
      <c r="K14" s="11"/>
    </row>
    <row r="15" spans="1:11">
      <c r="A15" s="11">
        <v>10</v>
      </c>
      <c r="B15" s="11">
        <f>SUMPRODUCT((RawData!$A$2:$A$42=SelectedYear)*(RawData!$B$2:$B$42=A15)*RawData!$C$2:$C$42)</f>
        <v>4100</v>
      </c>
      <c r="C15" s="11">
        <f>SUMPRODUCT((RawData!$A$2:$A$37=PriorYear)*(RawData!$B$2:$B$37=A15)*RawData!$C$2:$C$37)</f>
        <v>3800</v>
      </c>
      <c r="D15" s="21">
        <f t="shared" si="0"/>
        <v>7.8947368421052627E-2</v>
      </c>
      <c r="E15" s="11"/>
      <c r="F15" s="11"/>
      <c r="G15" s="11"/>
      <c r="H15" s="11"/>
      <c r="I15" s="11"/>
      <c r="J15" s="11"/>
      <c r="K15" s="11"/>
    </row>
    <row r="16" spans="1:11">
      <c r="A16" s="11">
        <v>11</v>
      </c>
      <c r="B16" s="11">
        <f>SUMPRODUCT((RawData!$A$2:$A$42=SelectedYear)*(RawData!$B$2:$B$42=A16)*RawData!$C$2:$C$42)</f>
        <v>4400</v>
      </c>
      <c r="C16" s="11">
        <f>SUMPRODUCT((RawData!$A$2:$A$37=PriorYear)*(RawData!$B$2:$B$37=A16)*RawData!$C$2:$C$37)</f>
        <v>4100</v>
      </c>
      <c r="D16" s="21">
        <f t="shared" si="0"/>
        <v>7.3170731707317069E-2</v>
      </c>
      <c r="E16" s="11"/>
      <c r="F16" s="11"/>
      <c r="G16" s="11"/>
      <c r="H16" s="11"/>
      <c r="I16" s="11"/>
      <c r="J16" s="11"/>
      <c r="K16" s="11"/>
    </row>
    <row r="17" spans="1:11">
      <c r="A17" s="11">
        <v>12</v>
      </c>
      <c r="B17" s="11">
        <f>SUMPRODUCT((RawData!$A$2:$A$42=SelectedYear)*(RawData!$B$2:$B$42=A17)*RawData!$C$2:$C$42)</f>
        <v>5400</v>
      </c>
      <c r="C17" s="11">
        <f>SUMPRODUCT((RawData!$A$2:$A$37=PriorYear)*(RawData!$B$2:$B$37=A17)*RawData!$C$2:$C$37)</f>
        <v>5000</v>
      </c>
      <c r="D17" s="21">
        <f t="shared" si="0"/>
        <v>0.08</v>
      </c>
      <c r="E17" s="11"/>
      <c r="F17" s="11"/>
      <c r="G17" s="11"/>
      <c r="H17" s="11"/>
      <c r="I17" s="11"/>
      <c r="J17" s="11"/>
      <c r="K17" s="11"/>
    </row>
    <row r="18" spans="1:11">
      <c r="A18" s="19" t="s">
        <v>14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</row>
    <row r="19" spans="1:11">
      <c r="A19" s="10" t="s">
        <v>1</v>
      </c>
      <c r="B19" s="10" t="s">
        <v>25</v>
      </c>
      <c r="C19" s="10" t="s">
        <v>7</v>
      </c>
      <c r="D19" s="10" t="s">
        <v>18</v>
      </c>
      <c r="E19" s="11"/>
      <c r="F19" s="11"/>
      <c r="G19" s="11"/>
      <c r="H19" s="11"/>
      <c r="I19" s="11"/>
      <c r="J19" s="11"/>
      <c r="K19" s="11"/>
    </row>
    <row r="20" spans="1:11">
      <c r="A20" s="11">
        <v>1</v>
      </c>
      <c r="B20" s="11">
        <f>SUMPRODUCT((RawData!$A$2:$A$42=SelectedYear)*(RawData!$B$2:$B$42=A20)*RawData!$D$2:$D$42)</f>
        <v>493</v>
      </c>
      <c r="C20" s="11">
        <f>SUMPRODUCT((RawData!$A$2:$A$37=PriorYear)*(RawData!$B$2:$B$37=A20)*RawData!$D$2:$D$37)</f>
        <v>452</v>
      </c>
      <c r="D20" s="21">
        <f>(B20-C20)/C20</f>
        <v>9.0707964601769914E-2</v>
      </c>
      <c r="E20" s="11"/>
      <c r="F20" s="11"/>
      <c r="G20" s="11"/>
      <c r="H20" s="11"/>
      <c r="I20" s="11"/>
      <c r="J20" s="11"/>
      <c r="K20" s="11"/>
    </row>
    <row r="21" spans="1:11">
      <c r="A21" s="11">
        <v>2</v>
      </c>
      <c r="B21" s="11">
        <f>SUMPRODUCT((RawData!$A$2:$A$42=SelectedYear)*(RawData!$B$2:$B$42=A21)*RawData!$D$2:$D$42)</f>
        <v>440</v>
      </c>
      <c r="C21" s="11">
        <f>SUMPRODUCT((RawData!$A$2:$A$37=PriorYear)*(RawData!$B$2:$B$37=A21)*RawData!$D$2:$D$37)</f>
        <v>400</v>
      </c>
      <c r="D21" s="21">
        <f t="shared" ref="D21:D31" si="1">(B21-C21)/C21</f>
        <v>0.1</v>
      </c>
      <c r="E21" s="11"/>
      <c r="F21" s="11"/>
      <c r="G21" s="11"/>
      <c r="H21" s="11"/>
      <c r="I21" s="11"/>
      <c r="J21" s="11"/>
      <c r="K21" s="11"/>
    </row>
    <row r="22" spans="1:11">
      <c r="A22" s="11">
        <v>3</v>
      </c>
      <c r="B22" s="11">
        <f>SUMPRODUCT((RawData!$A$2:$A$42=SelectedYear)*(RawData!$B$2:$B$42=A22)*RawData!$D$2:$D$42)</f>
        <v>470</v>
      </c>
      <c r="C22" s="11">
        <f>SUMPRODUCT((RawData!$A$2:$A$37=PriorYear)*(RawData!$B$2:$B$37=A22)*RawData!$D$2:$D$37)</f>
        <v>430</v>
      </c>
      <c r="D22" s="21">
        <f t="shared" si="1"/>
        <v>9.3023255813953487E-2</v>
      </c>
      <c r="E22" s="11"/>
      <c r="F22" s="11"/>
      <c r="G22" s="11"/>
      <c r="H22" s="11"/>
      <c r="I22" s="11"/>
      <c r="J22" s="11"/>
      <c r="K22" s="11"/>
    </row>
    <row r="23" spans="1:11">
      <c r="A23" s="11">
        <v>4</v>
      </c>
      <c r="B23" s="11">
        <f>SUMPRODUCT((RawData!$A$2:$A$42=SelectedYear)*(RawData!$B$2:$B$42=A23)*RawData!$D$2:$D$42)</f>
        <v>460</v>
      </c>
      <c r="C23" s="11">
        <f>SUMPRODUCT((RawData!$A$2:$A$37=PriorYear)*(RawData!$B$2:$B$37=A23)*RawData!$D$2:$D$37)</f>
        <v>420</v>
      </c>
      <c r="D23" s="21">
        <f t="shared" si="1"/>
        <v>9.5238095238095233E-2</v>
      </c>
      <c r="E23" s="11"/>
      <c r="F23" s="11"/>
      <c r="G23" s="11"/>
      <c r="H23" s="11"/>
      <c r="I23" s="11"/>
      <c r="J23" s="11"/>
      <c r="K23" s="11"/>
    </row>
    <row r="24" spans="1:11">
      <c r="A24" s="11">
        <v>5</v>
      </c>
      <c r="B24" s="11">
        <f>SUMPRODUCT((RawData!$A$2:$A$42=SelectedYear)*(RawData!$B$2:$B$42=A24)*RawData!$D$2:$D$42)</f>
        <v>510</v>
      </c>
      <c r="C24" s="11">
        <f>SUMPRODUCT((RawData!$A$2:$A$37=PriorYear)*(RawData!$B$2:$B$37=A24)*RawData!$D$2:$D$37)</f>
        <v>470</v>
      </c>
      <c r="D24" s="21">
        <f t="shared" si="1"/>
        <v>8.5106382978723402E-2</v>
      </c>
      <c r="E24" s="11"/>
      <c r="F24" s="11"/>
      <c r="G24" s="11"/>
      <c r="H24" s="11"/>
      <c r="I24" s="11"/>
      <c r="J24" s="11"/>
      <c r="K24" s="11"/>
    </row>
    <row r="25" spans="1:11">
      <c r="A25" s="11">
        <v>6</v>
      </c>
      <c r="B25" s="11">
        <f>SUMPRODUCT((RawData!$A$2:$A$42=SelectedYear)*(RawData!$B$2:$B$42=A25)*RawData!$D$2:$D$42)</f>
        <v>620</v>
      </c>
      <c r="C25" s="11">
        <f>SUMPRODUCT((RawData!$A$2:$A$37=PriorYear)*(RawData!$B$2:$B$37=A25)*RawData!$D$2:$D$37)</f>
        <v>570</v>
      </c>
      <c r="D25" s="21">
        <f t="shared" si="1"/>
        <v>8.771929824561403E-2</v>
      </c>
      <c r="E25" s="11"/>
      <c r="F25" s="11"/>
      <c r="G25" s="11"/>
      <c r="H25" s="11"/>
      <c r="I25" s="11"/>
      <c r="J25" s="11"/>
      <c r="K25" s="11"/>
    </row>
    <row r="26" spans="1:11">
      <c r="A26" s="11">
        <v>7</v>
      </c>
      <c r="B26" s="11">
        <f>SUMPRODUCT((RawData!$A$2:$A$42=SelectedYear)*(RawData!$B$2:$B$42=A26)*RawData!$D$2:$D$42)</f>
        <v>690</v>
      </c>
      <c r="C26" s="11">
        <f>SUMPRODUCT((RawData!$A$2:$A$37=PriorYear)*(RawData!$B$2:$B$37=A26)*RawData!$D$2:$D$37)</f>
        <v>640</v>
      </c>
      <c r="D26" s="21">
        <f t="shared" si="1"/>
        <v>7.8125E-2</v>
      </c>
      <c r="E26" s="11"/>
      <c r="F26" s="11"/>
      <c r="G26" s="11"/>
      <c r="H26" s="11"/>
      <c r="I26" s="11"/>
      <c r="J26" s="11"/>
      <c r="K26" s="11"/>
    </row>
    <row r="27" spans="1:11">
      <c r="A27" s="11">
        <v>8</v>
      </c>
      <c r="B27" s="11">
        <f>SUMPRODUCT((RawData!$A$2:$A$42=SelectedYear)*(RawData!$B$2:$B$42=A27)*RawData!$D$2:$D$42)</f>
        <v>660</v>
      </c>
      <c r="C27" s="11">
        <f>SUMPRODUCT((RawData!$A$2:$A$37=PriorYear)*(RawData!$B$2:$B$37=A27)*RawData!$D$2:$D$37)</f>
        <v>610</v>
      </c>
      <c r="D27" s="21">
        <f t="shared" si="1"/>
        <v>8.1967213114754092E-2</v>
      </c>
      <c r="E27" s="11"/>
      <c r="F27" s="11"/>
      <c r="G27" s="11"/>
      <c r="H27" s="11"/>
      <c r="I27" s="11"/>
      <c r="J27" s="11"/>
      <c r="K27" s="11"/>
    </row>
    <row r="28" spans="1:11">
      <c r="A28" s="11">
        <v>9</v>
      </c>
      <c r="B28" s="11">
        <f>SUMPRODUCT((RawData!$A$2:$A$42=SelectedYear)*(RawData!$B$2:$B$42=A28)*RawData!$D$2:$D$42)</f>
        <v>530</v>
      </c>
      <c r="C28" s="11">
        <f>SUMPRODUCT((RawData!$A$2:$A$37=PriorYear)*(RawData!$B$2:$B$37=A28)*RawData!$D$2:$D$37)</f>
        <v>490</v>
      </c>
      <c r="D28" s="21">
        <f t="shared" si="1"/>
        <v>8.1632653061224483E-2</v>
      </c>
      <c r="E28" s="11"/>
      <c r="F28" s="11"/>
      <c r="G28" s="11"/>
      <c r="H28" s="11"/>
      <c r="I28" s="11"/>
      <c r="J28" s="11"/>
      <c r="K28" s="11"/>
    </row>
    <row r="29" spans="1:11">
      <c r="A29" s="11">
        <v>10</v>
      </c>
      <c r="B29" s="11">
        <f>SUMPRODUCT((RawData!$A$2:$A$42=SelectedYear)*(RawData!$B$2:$B$42=A29)*RawData!$D$2:$D$42)</f>
        <v>520</v>
      </c>
      <c r="C29" s="11">
        <f>SUMPRODUCT((RawData!$A$2:$A$37=PriorYear)*(RawData!$B$2:$B$37=A29)*RawData!$D$2:$D$37)</f>
        <v>480</v>
      </c>
      <c r="D29" s="21">
        <f t="shared" si="1"/>
        <v>8.3333333333333329E-2</v>
      </c>
      <c r="E29" s="11"/>
      <c r="F29" s="11"/>
      <c r="G29" s="11"/>
      <c r="H29" s="11"/>
      <c r="I29" s="11"/>
      <c r="J29" s="11"/>
      <c r="K29" s="11"/>
    </row>
    <row r="30" spans="1:11">
      <c r="A30" s="11">
        <v>11</v>
      </c>
      <c r="B30" s="11">
        <f>SUMPRODUCT((RawData!$A$2:$A$42=SelectedYear)*(RawData!$B$2:$B$42=A30)*RawData!$D$2:$D$42)</f>
        <v>550</v>
      </c>
      <c r="C30" s="11">
        <f>SUMPRODUCT((RawData!$A$2:$A$37=PriorYear)*(RawData!$B$2:$B$37=A30)*RawData!$D$2:$D$37)</f>
        <v>510</v>
      </c>
      <c r="D30" s="21">
        <f t="shared" si="1"/>
        <v>7.8431372549019607E-2</v>
      </c>
      <c r="E30" s="11"/>
      <c r="F30" s="11"/>
      <c r="G30" s="11"/>
      <c r="H30" s="11"/>
      <c r="I30" s="11"/>
      <c r="J30" s="11"/>
      <c r="K30" s="11"/>
    </row>
    <row r="31" spans="1:11">
      <c r="A31" s="11">
        <v>12</v>
      </c>
      <c r="B31" s="11">
        <f>SUMPRODUCT((RawData!$A$2:$A$42=SelectedYear)*(RawData!$B$2:$B$42=A31)*RawData!$D$2:$D$42)</f>
        <v>660</v>
      </c>
      <c r="C31" s="11">
        <f>SUMPRODUCT((RawData!$A$2:$A$37=PriorYear)*(RawData!$B$2:$B$37=A31)*RawData!$D$2:$D$37)</f>
        <v>610</v>
      </c>
      <c r="D31" s="21">
        <f t="shared" si="1"/>
        <v>8.1967213114754092E-2</v>
      </c>
      <c r="E31" s="11"/>
      <c r="F31" s="11"/>
      <c r="G31" s="11"/>
      <c r="H31" s="11"/>
      <c r="I31" s="11"/>
      <c r="J31" s="11"/>
      <c r="K31" s="11"/>
    </row>
    <row r="32" spans="1:11">
      <c r="A32" s="19" t="s">
        <v>15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50" s="11" customFormat="1">
      <c r="A33" s="10" t="s">
        <v>1</v>
      </c>
      <c r="B33" s="10" t="s">
        <v>27</v>
      </c>
      <c r="C33" s="10" t="s">
        <v>8</v>
      </c>
      <c r="D33" s="10" t="s">
        <v>18</v>
      </c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</row>
    <row r="34" spans="1:50" s="11" customFormat="1">
      <c r="A34" s="11">
        <v>1</v>
      </c>
      <c r="B34" s="11">
        <f>SUMPRODUCT((RawData!$A$2:$A$42=SelectedYear)*(RawData!$B$2:$B$42=A34)*RawData!$E$2:$E$42)</f>
        <v>26003</v>
      </c>
      <c r="C34" s="11">
        <f>SUMPRODUCT((RawData!$A$2:$A$37=PriorYear)*(RawData!$B$2:$B$37=A34)*RawData!$E$2:$E$37)</f>
        <v>24002</v>
      </c>
      <c r="D34" s="21">
        <f>(B34-C34)/C34</f>
        <v>8.3368052662278147E-2</v>
      </c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</row>
    <row r="35" spans="1:50" s="11" customFormat="1">
      <c r="A35" s="11">
        <v>2</v>
      </c>
      <c r="B35" s="11">
        <f>SUMPRODUCT((RawData!$A$2:$A$42=SelectedYear)*(RawData!$B$2:$B$42=A35)*RawData!$E$2:$E$42)</f>
        <v>23000</v>
      </c>
      <c r="C35" s="11">
        <f>SUMPRODUCT((RawData!$A$2:$A$37=PriorYear)*(RawData!$B$2:$B$37=A35)*RawData!$E$2:$E$37)</f>
        <v>21000</v>
      </c>
      <c r="D35" s="21">
        <f t="shared" ref="D35:D45" si="2">(B35-C35)/C35</f>
        <v>9.5238095238095233E-2</v>
      </c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</row>
    <row r="36" spans="1:50" s="11" customFormat="1">
      <c r="A36" s="11">
        <v>3</v>
      </c>
      <c r="B36" s="11">
        <f>SUMPRODUCT((RawData!$A$2:$A$42=SelectedYear)*(RawData!$B$2:$B$42=A36)*RawData!$E$2:$E$42)</f>
        <v>25000</v>
      </c>
      <c r="C36" s="11">
        <f>SUMPRODUCT((RawData!$A$2:$A$37=PriorYear)*(RawData!$B$2:$B$37=A36)*RawData!$E$2:$E$37)</f>
        <v>23000</v>
      </c>
      <c r="D36" s="21">
        <f t="shared" si="2"/>
        <v>8.6956521739130432E-2</v>
      </c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</row>
    <row r="37" spans="1:50" s="11" customFormat="1">
      <c r="A37" s="11">
        <v>4</v>
      </c>
      <c r="B37" s="11">
        <f>SUMPRODUCT((RawData!$A$2:$A$42=SelectedYear)*(RawData!$B$2:$B$42=A37)*RawData!$E$2:$E$42)</f>
        <v>24500</v>
      </c>
      <c r="C37" s="11">
        <f>SUMPRODUCT((RawData!$A$2:$A$37=PriorYear)*(RawData!$B$2:$B$37=A37)*RawData!$E$2:$E$37)</f>
        <v>22500</v>
      </c>
      <c r="D37" s="21">
        <f t="shared" si="2"/>
        <v>8.8888888888888892E-2</v>
      </c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</row>
    <row r="38" spans="1:50" s="11" customFormat="1">
      <c r="A38" s="11">
        <v>5</v>
      </c>
      <c r="B38" s="11">
        <f>SUMPRODUCT((RawData!$A$2:$A$42=SelectedYear)*(RawData!$B$2:$B$42=A38)*RawData!$E$2:$E$42)</f>
        <v>27000</v>
      </c>
      <c r="C38" s="11">
        <f>SUMPRODUCT((RawData!$A$2:$A$37=PriorYear)*(RawData!$B$2:$B$37=A38)*RawData!$E$2:$E$37)</f>
        <v>25000</v>
      </c>
      <c r="D38" s="21">
        <f t="shared" si="2"/>
        <v>0.08</v>
      </c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</row>
    <row r="39" spans="1:50" s="11" customFormat="1">
      <c r="A39" s="11">
        <v>6</v>
      </c>
      <c r="B39" s="11">
        <f>SUMPRODUCT((RawData!$A$2:$A$42=SelectedYear)*(RawData!$B$2:$B$42=A39)*RawData!$E$2:$E$42)</f>
        <v>30000</v>
      </c>
      <c r="C39" s="11">
        <f>SUMPRODUCT((RawData!$A$2:$A$37=PriorYear)*(RawData!$B$2:$B$37=A39)*RawData!$E$2:$E$37)</f>
        <v>27500</v>
      </c>
      <c r="D39" s="21">
        <f t="shared" si="2"/>
        <v>9.0909090909090912E-2</v>
      </c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</row>
    <row r="40" spans="1:50" s="11" customFormat="1">
      <c r="A40" s="11">
        <v>7</v>
      </c>
      <c r="B40" s="11">
        <f>SUMPRODUCT((RawData!$A$2:$A$42=SelectedYear)*(RawData!$B$2:$B$42=A40)*RawData!$E$2:$E$42)</f>
        <v>32000</v>
      </c>
      <c r="C40" s="11">
        <f>SUMPRODUCT((RawData!$A$2:$A$37=PriorYear)*(RawData!$B$2:$B$37=A40)*RawData!$E$2:$E$37)</f>
        <v>29500</v>
      </c>
      <c r="D40" s="21">
        <f t="shared" si="2"/>
        <v>8.4745762711864403E-2</v>
      </c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</row>
    <row r="41" spans="1:50" s="11" customFormat="1">
      <c r="A41" s="11">
        <v>8</v>
      </c>
      <c r="B41" s="11">
        <f>SUMPRODUCT((RawData!$A$2:$A$42=SelectedYear)*(RawData!$B$2:$B$42=A41)*RawData!$E$2:$E$42)</f>
        <v>31000</v>
      </c>
      <c r="C41" s="11">
        <f>SUMPRODUCT((RawData!$A$2:$A$37=PriorYear)*(RawData!$B$2:$B$37=A41)*RawData!$E$2:$E$37)</f>
        <v>28500</v>
      </c>
      <c r="D41" s="21">
        <f t="shared" si="2"/>
        <v>8.771929824561403E-2</v>
      </c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</row>
    <row r="42" spans="1:50" s="11" customFormat="1">
      <c r="A42" s="11">
        <v>9</v>
      </c>
      <c r="B42" s="11">
        <f>SUMPRODUCT((RawData!$A$2:$A$42=SelectedYear)*(RawData!$B$2:$B$42=A42)*RawData!$E$2:$E$42)</f>
        <v>27500</v>
      </c>
      <c r="C42" s="11">
        <f>SUMPRODUCT((RawData!$A$2:$A$37=PriorYear)*(RawData!$B$2:$B$37=A42)*RawData!$E$2:$E$37)</f>
        <v>25500</v>
      </c>
      <c r="D42" s="21">
        <f t="shared" si="2"/>
        <v>7.8431372549019607E-2</v>
      </c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</row>
    <row r="43" spans="1:50" s="11" customFormat="1">
      <c r="A43" s="11">
        <v>10</v>
      </c>
      <c r="B43" s="11">
        <f>SUMPRODUCT((RawData!$A$2:$A$42=SelectedYear)*(RawData!$B$2:$B$42=A43)*RawData!$E$2:$E$42)</f>
        <v>26000</v>
      </c>
      <c r="C43" s="11">
        <f>SUMPRODUCT((RawData!$A$2:$A$37=PriorYear)*(RawData!$B$2:$B$37=A43)*RawData!$E$2:$E$37)</f>
        <v>24000</v>
      </c>
      <c r="D43" s="21">
        <f t="shared" si="2"/>
        <v>8.3333333333333329E-2</v>
      </c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</row>
    <row r="44" spans="1:50" s="11" customFormat="1">
      <c r="A44" s="11">
        <v>11</v>
      </c>
      <c r="B44" s="11">
        <f>SUMPRODUCT((RawData!$A$2:$A$42=SelectedYear)*(RawData!$B$2:$B$42=A44)*RawData!$E$2:$E$42)</f>
        <v>25500</v>
      </c>
      <c r="C44" s="11">
        <f>SUMPRODUCT((RawData!$A$2:$A$37=PriorYear)*(RawData!$B$2:$B$37=A44)*RawData!$E$2:$E$37)</f>
        <v>23500</v>
      </c>
      <c r="D44" s="21">
        <f t="shared" si="2"/>
        <v>8.5106382978723402E-2</v>
      </c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</row>
    <row r="45" spans="1:50" s="11" customFormat="1">
      <c r="A45" s="11">
        <v>12</v>
      </c>
      <c r="B45" s="11">
        <f>SUMPRODUCT((RawData!$A$2:$A$42=SelectedYear)*(RawData!$B$2:$B$42=A45)*RawData!$E$2:$E$42)</f>
        <v>29000</v>
      </c>
      <c r="C45" s="11">
        <f>SUMPRODUCT((RawData!$A$2:$A$37=PriorYear)*(RawData!$B$2:$B$37=A45)*RawData!$E$2:$E$37)</f>
        <v>26500</v>
      </c>
      <c r="D45" s="21">
        <f t="shared" si="2"/>
        <v>9.4339622641509441E-2</v>
      </c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</row>
    <row r="46" spans="1:50">
      <c r="A46" s="19" t="s">
        <v>16</v>
      </c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50">
      <c r="A47" s="10" t="s">
        <v>1</v>
      </c>
      <c r="B47" s="10" t="s">
        <v>29</v>
      </c>
      <c r="C47" s="10" t="s">
        <v>9</v>
      </c>
      <c r="D47" s="10" t="s">
        <v>18</v>
      </c>
      <c r="E47" s="11"/>
      <c r="F47" s="11"/>
      <c r="G47" s="11"/>
      <c r="H47" s="11"/>
      <c r="I47" s="11"/>
      <c r="J47" s="11"/>
      <c r="K47" s="11"/>
    </row>
    <row r="48" spans="1:50">
      <c r="A48" s="11">
        <v>1</v>
      </c>
      <c r="B48" s="11">
        <f>SUMPRODUCT((RawData!$A$2:$A$42=SelectedYear)*(RawData!$B$2:$B$42=A48)*RawData!$F$2:$F$42)</f>
        <v>30000</v>
      </c>
      <c r="C48" s="11">
        <f>SUMPRODUCT((RawData!$A$2:$A$37=PriorYear)*(RawData!$B$2:$B$37=A48)*RawData!$F$2:$F$37)</f>
        <v>28000</v>
      </c>
      <c r="D48" s="21">
        <f>(B48-C48)/C48</f>
        <v>7.1428571428571425E-2</v>
      </c>
      <c r="E48" s="11"/>
      <c r="F48" s="11"/>
      <c r="G48" s="11"/>
      <c r="H48" s="11"/>
      <c r="I48" s="11"/>
      <c r="J48" s="11"/>
      <c r="K48" s="11"/>
    </row>
    <row r="49" spans="1:11">
      <c r="A49" s="11">
        <v>2</v>
      </c>
      <c r="B49" s="11">
        <f>SUMPRODUCT((RawData!$A$2:$A$42=SelectedYear)*(RawData!$B$2:$B$42=A49)*RawData!$F$2:$F$42)</f>
        <v>26000</v>
      </c>
      <c r="C49" s="11">
        <f>SUMPRODUCT((RawData!$A$2:$A$37=PriorYear)*(RawData!$B$2:$B$37=A49)*RawData!$F$2:$F$37)</f>
        <v>24000</v>
      </c>
      <c r="D49" s="21">
        <f t="shared" ref="D49:D59" si="3">(B49-C49)/C49</f>
        <v>8.3333333333333329E-2</v>
      </c>
      <c r="E49" s="11"/>
      <c r="F49" s="11"/>
      <c r="G49" s="11"/>
      <c r="H49" s="11"/>
      <c r="I49" s="11"/>
      <c r="J49" s="11"/>
      <c r="K49" s="11"/>
    </row>
    <row r="50" spans="1:11">
      <c r="A50" s="11">
        <v>3</v>
      </c>
      <c r="B50" s="11">
        <f>SUMPRODUCT((RawData!$A$2:$A$42=SelectedYear)*(RawData!$B$2:$B$42=A50)*RawData!$F$2:$F$42)</f>
        <v>22500</v>
      </c>
      <c r="C50" s="11">
        <f>SUMPRODUCT((RawData!$A$2:$A$37=PriorYear)*(RawData!$B$2:$B$37=A50)*RawData!$F$2:$F$37)</f>
        <v>21000</v>
      </c>
      <c r="D50" s="21">
        <f t="shared" si="3"/>
        <v>7.1428571428571425E-2</v>
      </c>
      <c r="E50" s="11"/>
      <c r="F50" s="11"/>
      <c r="G50" s="11"/>
      <c r="H50" s="11"/>
      <c r="I50" s="11"/>
      <c r="J50" s="11"/>
      <c r="K50" s="11"/>
    </row>
    <row r="51" spans="1:11">
      <c r="A51" s="11">
        <v>4</v>
      </c>
      <c r="B51" s="11">
        <f>SUMPRODUCT((RawData!$A$2:$A$42=SelectedYear)*(RawData!$B$2:$B$42=A51)*RawData!$F$2:$F$42)</f>
        <v>19000</v>
      </c>
      <c r="C51" s="11">
        <f>SUMPRODUCT((RawData!$A$2:$A$37=PriorYear)*(RawData!$B$2:$B$37=A51)*RawData!$F$2:$F$37)</f>
        <v>17500</v>
      </c>
      <c r="D51" s="21">
        <f t="shared" si="3"/>
        <v>8.5714285714285715E-2</v>
      </c>
      <c r="E51" s="11"/>
      <c r="F51" s="11"/>
      <c r="G51" s="11"/>
      <c r="H51" s="11"/>
      <c r="I51" s="11"/>
      <c r="J51" s="11"/>
      <c r="K51" s="11"/>
    </row>
    <row r="52" spans="1:11">
      <c r="A52" s="11">
        <v>5</v>
      </c>
      <c r="B52" s="11">
        <f>SUMPRODUCT((RawData!$A$2:$A$42=SelectedYear)*(RawData!$B$2:$B$42=A52)*RawData!$F$2:$F$42)</f>
        <v>18000</v>
      </c>
      <c r="C52" s="11">
        <f>SUMPRODUCT((RawData!$A$2:$A$37=PriorYear)*(RawData!$B$2:$B$37=A52)*RawData!$F$2:$F$37)</f>
        <v>16500</v>
      </c>
      <c r="D52" s="21">
        <f t="shared" si="3"/>
        <v>9.0909090909090912E-2</v>
      </c>
      <c r="E52" s="11"/>
      <c r="F52" s="11"/>
      <c r="G52" s="11"/>
      <c r="H52" s="11"/>
      <c r="I52" s="11"/>
      <c r="J52" s="11"/>
      <c r="K52" s="11"/>
    </row>
    <row r="53" spans="1:11">
      <c r="A53" s="11">
        <v>6</v>
      </c>
      <c r="B53" s="11">
        <f>SUMPRODUCT((RawData!$A$2:$A$42=SelectedYear)*(RawData!$B$2:$B$42=A53)*RawData!$F$2:$F$42)</f>
        <v>24000</v>
      </c>
      <c r="C53" s="11">
        <f>SUMPRODUCT((RawData!$A$2:$A$37=PriorYear)*(RawData!$B$2:$B$37=A53)*RawData!$F$2:$F$37)</f>
        <v>22000</v>
      </c>
      <c r="D53" s="21">
        <f t="shared" si="3"/>
        <v>9.0909090909090912E-2</v>
      </c>
      <c r="E53" s="11"/>
      <c r="F53" s="11"/>
      <c r="G53" s="11"/>
      <c r="H53" s="11"/>
      <c r="I53" s="11"/>
      <c r="J53" s="11"/>
      <c r="K53" s="11"/>
    </row>
    <row r="54" spans="1:11">
      <c r="A54" s="11">
        <v>7</v>
      </c>
      <c r="B54" s="11">
        <f>SUMPRODUCT((RawData!$A$2:$A$42=SelectedYear)*(RawData!$B$2:$B$42=A54)*RawData!$F$2:$F$42)</f>
        <v>32500</v>
      </c>
      <c r="C54" s="11">
        <f>SUMPRODUCT((RawData!$A$2:$A$37=PriorYear)*(RawData!$B$2:$B$37=A54)*RawData!$F$2:$F$37)</f>
        <v>30000</v>
      </c>
      <c r="D54" s="21">
        <f t="shared" si="3"/>
        <v>8.3333333333333329E-2</v>
      </c>
      <c r="E54" s="11"/>
      <c r="F54" s="11"/>
      <c r="G54" s="11"/>
      <c r="H54" s="11"/>
      <c r="I54" s="11"/>
      <c r="J54" s="11"/>
      <c r="K54" s="11"/>
    </row>
    <row r="55" spans="1:11">
      <c r="A55" s="11">
        <v>8</v>
      </c>
      <c r="B55" s="11">
        <f>SUMPRODUCT((RawData!$A$2:$A$42=SelectedYear)*(RawData!$B$2:$B$42=A55)*RawData!$F$2:$F$42)</f>
        <v>31500</v>
      </c>
      <c r="C55" s="11">
        <f>SUMPRODUCT((RawData!$A$2:$A$37=PriorYear)*(RawData!$B$2:$B$37=A55)*RawData!$F$2:$F$37)</f>
        <v>29000</v>
      </c>
      <c r="D55" s="21">
        <f t="shared" si="3"/>
        <v>8.6206896551724144E-2</v>
      </c>
      <c r="E55" s="11"/>
      <c r="F55" s="11"/>
      <c r="G55" s="11"/>
      <c r="H55" s="11"/>
      <c r="I55" s="11"/>
      <c r="J55" s="11"/>
      <c r="K55" s="11"/>
    </row>
    <row r="56" spans="1:11">
      <c r="A56" s="11">
        <v>9</v>
      </c>
      <c r="B56" s="11">
        <f>SUMPRODUCT((RawData!$A$2:$A$42=SelectedYear)*(RawData!$B$2:$B$42=A56)*RawData!$F$2:$F$42)</f>
        <v>24000</v>
      </c>
      <c r="C56" s="11">
        <f>SUMPRODUCT((RawData!$A$2:$A$37=PriorYear)*(RawData!$B$2:$B$37=A56)*RawData!$F$2:$F$37)</f>
        <v>22000</v>
      </c>
      <c r="D56" s="21">
        <f t="shared" si="3"/>
        <v>9.0909090909090912E-2</v>
      </c>
      <c r="E56" s="11"/>
      <c r="F56" s="11"/>
      <c r="G56" s="11"/>
      <c r="H56" s="11"/>
      <c r="I56" s="11"/>
      <c r="J56" s="11"/>
      <c r="K56" s="11"/>
    </row>
    <row r="57" spans="1:11">
      <c r="A57" s="11">
        <v>10</v>
      </c>
      <c r="B57" s="11">
        <f>SUMPRODUCT((RawData!$A$2:$A$42=SelectedYear)*(RawData!$B$2:$B$42=A57)*RawData!$F$2:$F$42)</f>
        <v>21000</v>
      </c>
      <c r="C57" s="11">
        <f>SUMPRODUCT((RawData!$A$2:$A$37=PriorYear)*(RawData!$B$2:$B$37=A57)*RawData!$F$2:$F$37)</f>
        <v>19500</v>
      </c>
      <c r="D57" s="21">
        <f t="shared" si="3"/>
        <v>7.6923076923076927E-2</v>
      </c>
      <c r="E57" s="11"/>
      <c r="F57" s="11"/>
      <c r="G57" s="11"/>
      <c r="H57" s="11"/>
      <c r="I57" s="11"/>
      <c r="J57" s="11"/>
      <c r="K57" s="11"/>
    </row>
    <row r="58" spans="1:11">
      <c r="A58" s="11">
        <v>11</v>
      </c>
      <c r="B58" s="11">
        <f>SUMPRODUCT((RawData!$A$2:$A$42=SelectedYear)*(RawData!$B$2:$B$42=A58)*RawData!$F$2:$F$42)</f>
        <v>26000</v>
      </c>
      <c r="C58" s="11">
        <f>SUMPRODUCT((RawData!$A$2:$A$37=PriorYear)*(RawData!$B$2:$B$37=A58)*RawData!$F$2:$F$37)</f>
        <v>24000</v>
      </c>
      <c r="D58" s="21">
        <f t="shared" si="3"/>
        <v>8.3333333333333329E-2</v>
      </c>
      <c r="E58" s="11"/>
      <c r="F58" s="11"/>
      <c r="G58" s="11"/>
      <c r="H58" s="11"/>
      <c r="I58" s="11"/>
      <c r="J58" s="11"/>
      <c r="K58" s="11"/>
    </row>
    <row r="59" spans="1:11">
      <c r="A59" s="11">
        <v>12</v>
      </c>
      <c r="B59" s="11">
        <f>SUMPRODUCT((RawData!$A$2:$A$42=SelectedYear)*(RawData!$B$2:$B$42=A59)*RawData!$F$2:$F$42)</f>
        <v>34000</v>
      </c>
      <c r="C59" s="11">
        <f>SUMPRODUCT((RawData!$A$2:$A$37=PriorYear)*(RawData!$B$2:$B$37=A59)*RawData!$F$2:$F$37)</f>
        <v>31500</v>
      </c>
      <c r="D59" s="21">
        <f t="shared" si="3"/>
        <v>7.9365079365079361E-2</v>
      </c>
      <c r="E59" s="11"/>
      <c r="F59" s="11"/>
      <c r="G59" s="11"/>
      <c r="H59" s="11"/>
      <c r="I59" s="11"/>
      <c r="J59" s="11"/>
      <c r="K59" s="11"/>
    </row>
    <row r="60" spans="1:11">
      <c r="A60" s="8" t="s">
        <v>17</v>
      </c>
      <c r="B60" s="9"/>
      <c r="C60" s="9"/>
      <c r="D60" s="9"/>
      <c r="E60" s="9"/>
      <c r="F60" s="9"/>
      <c r="G60" s="9"/>
      <c r="H60" s="9"/>
      <c r="I60" s="9"/>
      <c r="J60" s="9"/>
      <c r="K60" s="9"/>
    </row>
    <row r="61" spans="1:11">
      <c r="A61" s="10" t="s">
        <v>1</v>
      </c>
      <c r="B61" s="10" t="s">
        <v>31</v>
      </c>
      <c r="C61" s="10" t="s">
        <v>10</v>
      </c>
      <c r="D61" s="10" t="s">
        <v>18</v>
      </c>
      <c r="E61" s="11"/>
      <c r="F61" s="11"/>
      <c r="G61" s="11"/>
      <c r="H61" s="11"/>
      <c r="I61" s="11"/>
      <c r="J61" s="11"/>
      <c r="K61" s="11"/>
    </row>
    <row r="62" spans="1:11">
      <c r="A62" s="11">
        <v>1</v>
      </c>
      <c r="B62" s="11">
        <f>SUMPRODUCT((RawData!$A$2:$A$42=SelectedYear)*(RawData!$B$2:$B$42=A62)*RawData!$G$2:$G$42)</f>
        <v>14000</v>
      </c>
      <c r="C62" s="11">
        <f>SUMPRODUCT((RawData!$A$2:$A$37=PriorYear)*(RawData!$B$2:$B$37=A62)*RawData!$G$2:$G$37)</f>
        <v>13000</v>
      </c>
      <c r="D62" s="21">
        <f>(B62-C62)/C62</f>
        <v>7.6923076923076927E-2</v>
      </c>
      <c r="E62" s="11"/>
      <c r="F62" s="11"/>
      <c r="G62" s="11"/>
      <c r="H62" s="11"/>
      <c r="I62" s="11"/>
      <c r="J62" s="11"/>
      <c r="K62" s="11"/>
    </row>
    <row r="63" spans="1:11">
      <c r="A63" s="11">
        <v>2</v>
      </c>
      <c r="B63" s="11">
        <f>SUMPRODUCT((RawData!$A$2:$A$42=SelectedYear)*(RawData!$B$2:$B$42=A63)*RawData!$G$2:$G$42)</f>
        <v>13000</v>
      </c>
      <c r="C63" s="11">
        <f>SUMPRODUCT((RawData!$A$2:$A$37=PriorYear)*(RawData!$B$2:$B$37=A63)*RawData!$G$2:$G$37)</f>
        <v>12000</v>
      </c>
      <c r="D63" s="21">
        <f t="shared" ref="D63:D73" si="4">(B63-C63)/C63</f>
        <v>8.3333333333333329E-2</v>
      </c>
      <c r="E63" s="11"/>
      <c r="F63" s="11"/>
      <c r="G63" s="11"/>
      <c r="H63" s="11"/>
      <c r="I63" s="11"/>
      <c r="J63" s="11"/>
      <c r="K63" s="11"/>
    </row>
    <row r="64" spans="1:11">
      <c r="A64" s="11">
        <v>3</v>
      </c>
      <c r="B64" s="11">
        <f>SUMPRODUCT((RawData!$A$2:$A$42=SelectedYear)*(RawData!$B$2:$B$42=A64)*RawData!$G$2:$G$42)</f>
        <v>13500</v>
      </c>
      <c r="C64" s="11">
        <f>SUMPRODUCT((RawData!$A$2:$A$37=PriorYear)*(RawData!$B$2:$B$37=A64)*RawData!$G$2:$G$37)</f>
        <v>12500</v>
      </c>
      <c r="D64" s="21">
        <f t="shared" si="4"/>
        <v>0.08</v>
      </c>
      <c r="E64" s="11"/>
      <c r="F64" s="11"/>
      <c r="G64" s="11"/>
      <c r="H64" s="11"/>
      <c r="I64" s="11"/>
      <c r="J64" s="11"/>
      <c r="K64" s="11"/>
    </row>
    <row r="65" spans="1:11">
      <c r="A65" s="11">
        <v>4</v>
      </c>
      <c r="B65" s="11">
        <f>SUMPRODUCT((RawData!$A$2:$A$42=SelectedYear)*(RawData!$B$2:$B$42=A65)*RawData!$G$2:$G$42)</f>
        <v>14000</v>
      </c>
      <c r="C65" s="11">
        <f>SUMPRODUCT((RawData!$A$2:$A$37=PriorYear)*(RawData!$B$2:$B$37=A65)*RawData!$G$2:$G$37)</f>
        <v>13000</v>
      </c>
      <c r="D65" s="21">
        <f t="shared" si="4"/>
        <v>7.6923076923076927E-2</v>
      </c>
      <c r="E65" s="11"/>
      <c r="F65" s="11"/>
      <c r="G65" s="11"/>
      <c r="H65" s="11"/>
      <c r="I65" s="11"/>
      <c r="J65" s="11"/>
      <c r="K65" s="11"/>
    </row>
    <row r="66" spans="1:11">
      <c r="A66" s="11">
        <v>5</v>
      </c>
      <c r="B66" s="11">
        <f>SUMPRODUCT((RawData!$A$2:$A$42=SelectedYear)*(RawData!$B$2:$B$42=A66)*RawData!$G$2:$G$42)</f>
        <v>15000</v>
      </c>
      <c r="C66" s="11">
        <f>SUMPRODUCT((RawData!$A$2:$A$37=PriorYear)*(RawData!$B$2:$B$37=A66)*RawData!$G$2:$G$37)</f>
        <v>14000</v>
      </c>
      <c r="D66" s="21">
        <f t="shared" si="4"/>
        <v>7.1428571428571425E-2</v>
      </c>
      <c r="E66" s="11"/>
      <c r="F66" s="11"/>
      <c r="G66" s="11"/>
      <c r="H66" s="11"/>
      <c r="I66" s="11"/>
      <c r="J66" s="11"/>
      <c r="K66" s="11"/>
    </row>
    <row r="67" spans="1:11">
      <c r="A67" s="11">
        <v>6</v>
      </c>
      <c r="B67" s="11">
        <f>SUMPRODUCT((RawData!$A$2:$A$42=SelectedYear)*(RawData!$B$2:$B$42=A67)*RawData!$G$2:$G$42)</f>
        <v>16000</v>
      </c>
      <c r="C67" s="11">
        <f>SUMPRODUCT((RawData!$A$2:$A$37=PriorYear)*(RawData!$B$2:$B$37=A67)*RawData!$G$2:$G$37)</f>
        <v>15000</v>
      </c>
      <c r="D67" s="21">
        <f t="shared" si="4"/>
        <v>6.6666666666666666E-2</v>
      </c>
      <c r="E67" s="11"/>
      <c r="F67" s="11"/>
      <c r="G67" s="11"/>
      <c r="H67" s="11"/>
      <c r="I67" s="11"/>
      <c r="J67" s="11"/>
      <c r="K67" s="11"/>
    </row>
    <row r="68" spans="1:11">
      <c r="A68" s="11">
        <v>7</v>
      </c>
      <c r="B68" s="11">
        <f>SUMPRODUCT((RawData!$A$2:$A$42=SelectedYear)*(RawData!$B$2:$B$42=A68)*RawData!$G$2:$G$42)</f>
        <v>17000</v>
      </c>
      <c r="C68" s="11">
        <f>SUMPRODUCT((RawData!$A$2:$A$37=PriorYear)*(RawData!$B$2:$B$37=A68)*RawData!$G$2:$G$37)</f>
        <v>16000</v>
      </c>
      <c r="D68" s="21">
        <f t="shared" si="4"/>
        <v>6.25E-2</v>
      </c>
      <c r="E68" s="11"/>
      <c r="F68" s="11"/>
      <c r="G68" s="11"/>
      <c r="H68" s="11"/>
      <c r="I68" s="11"/>
      <c r="J68" s="11"/>
      <c r="K68" s="11"/>
    </row>
    <row r="69" spans="1:11">
      <c r="A69" s="11">
        <v>8</v>
      </c>
      <c r="B69" s="11">
        <f>SUMPRODUCT((RawData!$A$2:$A$42=SelectedYear)*(RawData!$B$2:$B$42=A69)*RawData!$G$2:$G$42)</f>
        <v>16500</v>
      </c>
      <c r="C69" s="11">
        <f>SUMPRODUCT((RawData!$A$2:$A$37=PriorYear)*(RawData!$B$2:$B$37=A69)*RawData!$G$2:$G$37)</f>
        <v>15500</v>
      </c>
      <c r="D69" s="21">
        <f t="shared" si="4"/>
        <v>6.4516129032258063E-2</v>
      </c>
      <c r="E69" s="11"/>
      <c r="F69" s="11"/>
      <c r="G69" s="11"/>
      <c r="H69" s="11"/>
      <c r="I69" s="11"/>
      <c r="J69" s="11"/>
      <c r="K69" s="11"/>
    </row>
    <row r="70" spans="1:11">
      <c r="A70" s="11">
        <v>9</v>
      </c>
      <c r="B70" s="11">
        <f>SUMPRODUCT((RawData!$A$2:$A$42=SelectedYear)*(RawData!$B$2:$B$42=A70)*RawData!$G$2:$G$42)</f>
        <v>15500</v>
      </c>
      <c r="C70" s="11">
        <f>SUMPRODUCT((RawData!$A$2:$A$37=PriorYear)*(RawData!$B$2:$B$37=A70)*RawData!$G$2:$G$37)</f>
        <v>14500</v>
      </c>
      <c r="D70" s="21">
        <f t="shared" si="4"/>
        <v>6.8965517241379309E-2</v>
      </c>
      <c r="E70" s="11"/>
      <c r="F70" s="11"/>
      <c r="G70" s="11"/>
      <c r="H70" s="11"/>
      <c r="I70" s="11"/>
      <c r="J70" s="11"/>
      <c r="K70" s="11"/>
    </row>
    <row r="71" spans="1:11">
      <c r="A71" s="11">
        <v>10</v>
      </c>
      <c r="B71" s="11">
        <f>SUMPRODUCT((RawData!$A$2:$A$42=SelectedYear)*(RawData!$B$2:$B$42=A71)*RawData!$G$2:$G$42)</f>
        <v>14500</v>
      </c>
      <c r="C71" s="11">
        <f>SUMPRODUCT((RawData!$A$2:$A$37=PriorYear)*(RawData!$B$2:$B$37=A71)*RawData!$G$2:$G$37)</f>
        <v>13500</v>
      </c>
      <c r="D71" s="21">
        <f t="shared" si="4"/>
        <v>7.407407407407407E-2</v>
      </c>
      <c r="E71" s="11"/>
      <c r="F71" s="11"/>
      <c r="G71" s="11"/>
      <c r="H71" s="11"/>
      <c r="I71" s="11"/>
      <c r="J71" s="11"/>
      <c r="K71" s="11"/>
    </row>
    <row r="72" spans="1:11">
      <c r="A72" s="11">
        <v>11</v>
      </c>
      <c r="B72" s="11">
        <f>SUMPRODUCT((RawData!$A$2:$A$42=SelectedYear)*(RawData!$B$2:$B$42=A72)*RawData!$G$2:$G$42)</f>
        <v>14500</v>
      </c>
      <c r="C72" s="11">
        <f>SUMPRODUCT((RawData!$A$2:$A$37=PriorYear)*(RawData!$B$2:$B$37=A72)*RawData!$G$2:$G$37)</f>
        <v>13500</v>
      </c>
      <c r="D72" s="21">
        <f t="shared" si="4"/>
        <v>7.407407407407407E-2</v>
      </c>
      <c r="E72" s="11"/>
      <c r="F72" s="11"/>
      <c r="G72" s="11"/>
      <c r="H72" s="11"/>
      <c r="I72" s="11"/>
      <c r="J72" s="11"/>
      <c r="K72" s="11"/>
    </row>
    <row r="73" spans="1:11">
      <c r="A73" s="11">
        <v>12</v>
      </c>
      <c r="B73" s="11">
        <f>SUMPRODUCT((RawData!$A$2:$A$42=SelectedYear)*(RawData!$B$2:$B$42=A73)*RawData!$G$2:$G$42)</f>
        <v>16000</v>
      </c>
      <c r="C73" s="11">
        <f>SUMPRODUCT((RawData!$A$2:$A$37=PriorYear)*(RawData!$B$2:$B$37=A73)*RawData!$G$2:$G$37)</f>
        <v>15000</v>
      </c>
      <c r="D73" s="21">
        <f t="shared" si="4"/>
        <v>6.6666666666666666E-2</v>
      </c>
      <c r="E73" s="11"/>
      <c r="F73" s="11"/>
      <c r="G73" s="11"/>
      <c r="H73" s="11"/>
      <c r="I73" s="11"/>
      <c r="J73" s="11"/>
      <c r="K73" s="11"/>
    </row>
    <row r="74" spans="1:11">
      <c r="A74" s="12" t="s">
        <v>11</v>
      </c>
      <c r="B74" s="13">
        <v>1</v>
      </c>
      <c r="C74" s="13"/>
      <c r="D74" s="13"/>
      <c r="E74" s="13"/>
      <c r="F74" s="13"/>
      <c r="G74" s="13"/>
      <c r="H74" s="13"/>
      <c r="I74" s="13"/>
      <c r="J74" s="13"/>
      <c r="K74" s="13"/>
    </row>
    <row r="75" spans="1:11">
      <c r="A75" s="13" t="s">
        <v>1</v>
      </c>
      <c r="B75" s="13" t="s">
        <v>37</v>
      </c>
      <c r="C75" s="13" t="s">
        <v>36</v>
      </c>
      <c r="D75" s="13" t="s">
        <v>18</v>
      </c>
      <c r="E75" s="13"/>
      <c r="F75" s="13"/>
      <c r="G75" s="13"/>
      <c r="H75" s="13"/>
      <c r="I75" s="13"/>
      <c r="J75" s="13"/>
      <c r="K75" s="13"/>
    </row>
    <row r="76" spans="1:11">
      <c r="A76" s="13">
        <v>1</v>
      </c>
      <c r="B76" s="14">
        <f>IF(DeptSelection=1,
      SUMPRODUCT((RawData!$A$2:$A$42=SelectedYear)*(RawData!$B$2:$B$42=A76)*RawData!$E$2:$E$42),
      IF(DeptSelection=2,
        SUMPRODUCT((RawData!$A$2:$A$42=SelectedYear)*(RawData!$B$2:$B$42=A76)*RawData!$F$2:$F$42),
        SUMPRODUCT((RawData!$A$2:$A$42=SelectedYear)*(RawData!$B$2:$B$42=A76)*RawData!$G$2:$G$42)))</f>
        <v>26003</v>
      </c>
      <c r="C76" s="13">
        <f>IF(DeptSelection=1,
      SUMPRODUCT((RawData!$A$2:$A$42=PriorYear)*(RawData!$B$2:$B$42=A76)*RawData!$E$2:$E$42),
      IF(DeptSelection=2,
        SUMPRODUCT((RawData!$A$2:$A$42=PriorYear)*(RawData!$B$2:$B$42=A76)*RawData!$F$2:$F$42),
        SUMPRODUCT((RawData!$A$2:$A$42=PriorYear)*(RawData!$B$2:$B$42=A76)*RawData!$G$2:$G$42)))</f>
        <v>24002</v>
      </c>
      <c r="D76" s="31">
        <f>(B76-C76)/C76</f>
        <v>8.3368052662278147E-2</v>
      </c>
      <c r="E76" s="13"/>
      <c r="F76" s="13"/>
      <c r="G76" s="13"/>
      <c r="H76" s="13"/>
      <c r="I76" s="13"/>
      <c r="J76" s="13"/>
      <c r="K76" s="13"/>
    </row>
    <row r="77" spans="1:11">
      <c r="A77" s="13">
        <v>2</v>
      </c>
      <c r="B77" s="14">
        <f>IF(DeptSelection=1,
      SUMPRODUCT((RawData!$A$2:$A$42=SelectedYear)*(RawData!$B$2:$B$42=A77)*RawData!$E$2:$E$42),
      IF(DeptSelection=2,
        SUMPRODUCT((RawData!$A$2:$A$42=SelectedYear)*(RawData!$B$2:$B$42=A77)*RawData!$F$2:$F$42),
        SUMPRODUCT((RawData!$A$2:$A$42=SelectedYear)*(RawData!$B$2:$B$42=A77)*RawData!$G$2:$G$42)))</f>
        <v>23000</v>
      </c>
      <c r="C77" s="13">
        <f>IF(DeptSelection=1,
      SUMPRODUCT((RawData!$A$2:$A$42=PriorYear)*(RawData!$B$2:$B$42=A77)*RawData!$E$2:$E$42),
      IF(DeptSelection=2,
        SUMPRODUCT((RawData!$A$2:$A$42=PriorYear)*(RawData!$B$2:$B$42=A77)*RawData!$F$2:$F$42),
        SUMPRODUCT((RawData!$A$2:$A$42=PriorYear)*(RawData!$B$2:$B$42=A77)*RawData!$G$2:$G$42)))</f>
        <v>21000</v>
      </c>
      <c r="D77" s="31">
        <f t="shared" ref="D77:D87" si="5">(B77-C77)/C77</f>
        <v>9.5238095238095233E-2</v>
      </c>
      <c r="E77" s="13"/>
      <c r="F77" s="13"/>
      <c r="G77" s="13"/>
      <c r="H77" s="13"/>
      <c r="I77" s="13"/>
      <c r="J77" s="13"/>
      <c r="K77" s="13"/>
    </row>
    <row r="78" spans="1:11">
      <c r="A78" s="13">
        <v>3</v>
      </c>
      <c r="B78" s="14">
        <f>IF(DeptSelection=1,
      SUMPRODUCT((RawData!$A$2:$A$42=SelectedYear)*(RawData!$B$2:$B$42=A78)*RawData!$E$2:$E$42),
      IF(DeptSelection=2,
        SUMPRODUCT((RawData!$A$2:$A$42=SelectedYear)*(RawData!$B$2:$B$42=A78)*RawData!$F$2:$F$42),
        SUMPRODUCT((RawData!$A$2:$A$42=SelectedYear)*(RawData!$B$2:$B$42=A78)*RawData!$G$2:$G$42)))</f>
        <v>25000</v>
      </c>
      <c r="C78" s="13">
        <f>IF(DeptSelection=1,
      SUMPRODUCT((RawData!$A$2:$A$42=PriorYear)*(RawData!$B$2:$B$42=A78)*RawData!$E$2:$E$42),
      IF(DeptSelection=2,
        SUMPRODUCT((RawData!$A$2:$A$42=PriorYear)*(RawData!$B$2:$B$42=A78)*RawData!$F$2:$F$42),
        SUMPRODUCT((RawData!$A$2:$A$42=PriorYear)*(RawData!$B$2:$B$42=A78)*RawData!$G$2:$G$42)))</f>
        <v>23000</v>
      </c>
      <c r="D78" s="31">
        <f t="shared" si="5"/>
        <v>8.6956521739130432E-2</v>
      </c>
      <c r="E78" s="13"/>
      <c r="F78" s="13"/>
      <c r="G78" s="13"/>
      <c r="H78" s="13"/>
      <c r="I78" s="13"/>
      <c r="J78" s="13"/>
      <c r="K78" s="13"/>
    </row>
    <row r="79" spans="1:11">
      <c r="A79" s="13">
        <v>4</v>
      </c>
      <c r="B79" s="14">
        <f>IF(DeptSelection=1,
      SUMPRODUCT((RawData!$A$2:$A$42=SelectedYear)*(RawData!$B$2:$B$42=A79)*RawData!$E$2:$E$42),
      IF(DeptSelection=2,
        SUMPRODUCT((RawData!$A$2:$A$42=SelectedYear)*(RawData!$B$2:$B$42=A79)*RawData!$F$2:$F$42),
        SUMPRODUCT((RawData!$A$2:$A$42=SelectedYear)*(RawData!$B$2:$B$42=A79)*RawData!$G$2:$G$42)))</f>
        <v>24500</v>
      </c>
      <c r="C79" s="13">
        <f>IF(DeptSelection=1,
      SUMPRODUCT((RawData!$A$2:$A$42=PriorYear)*(RawData!$B$2:$B$42=A79)*RawData!$E$2:$E$42),
      IF(DeptSelection=2,
        SUMPRODUCT((RawData!$A$2:$A$42=PriorYear)*(RawData!$B$2:$B$42=A79)*RawData!$F$2:$F$42),
        SUMPRODUCT((RawData!$A$2:$A$42=PriorYear)*(RawData!$B$2:$B$42=A79)*RawData!$G$2:$G$42)))</f>
        <v>22500</v>
      </c>
      <c r="D79" s="31">
        <f t="shared" si="5"/>
        <v>8.8888888888888892E-2</v>
      </c>
      <c r="E79" s="13"/>
      <c r="F79" s="13"/>
      <c r="G79" s="13"/>
      <c r="H79" s="13"/>
      <c r="I79" s="13"/>
      <c r="J79" s="13"/>
      <c r="K79" s="13"/>
    </row>
    <row r="80" spans="1:11">
      <c r="A80" s="13">
        <v>5</v>
      </c>
      <c r="B80" s="14">
        <f>IF(DeptSelection=1,
      SUMPRODUCT((RawData!$A$2:$A$42=SelectedYear)*(RawData!$B$2:$B$42=A80)*RawData!$E$2:$E$42),
      IF(DeptSelection=2,
        SUMPRODUCT((RawData!$A$2:$A$42=SelectedYear)*(RawData!$B$2:$B$42=A80)*RawData!$F$2:$F$42),
        SUMPRODUCT((RawData!$A$2:$A$42=SelectedYear)*(RawData!$B$2:$B$42=A80)*RawData!$G$2:$G$42)))</f>
        <v>27000</v>
      </c>
      <c r="C80" s="13">
        <f>IF(DeptSelection=1,
      SUMPRODUCT((RawData!$A$2:$A$42=PriorYear)*(RawData!$B$2:$B$42=A80)*RawData!$E$2:$E$42),
      IF(DeptSelection=2,
        SUMPRODUCT((RawData!$A$2:$A$42=PriorYear)*(RawData!$B$2:$B$42=A80)*RawData!$F$2:$F$42),
        SUMPRODUCT((RawData!$A$2:$A$42=PriorYear)*(RawData!$B$2:$B$42=A80)*RawData!$G$2:$G$42)))</f>
        <v>25000</v>
      </c>
      <c r="D80" s="31">
        <f t="shared" si="5"/>
        <v>0.08</v>
      </c>
      <c r="E80" s="13"/>
      <c r="F80" s="13"/>
      <c r="G80" s="13"/>
      <c r="H80" s="13"/>
      <c r="I80" s="13"/>
      <c r="J80" s="13"/>
      <c r="K80" s="13"/>
    </row>
    <row r="81" spans="1:11">
      <c r="A81" s="13">
        <v>6</v>
      </c>
      <c r="B81" s="14">
        <f>IF(DeptSelection=1,
      SUMPRODUCT((RawData!$A$2:$A$42=SelectedYear)*(RawData!$B$2:$B$42=A81)*RawData!$E$2:$E$42),
      IF(DeptSelection=2,
        SUMPRODUCT((RawData!$A$2:$A$42=SelectedYear)*(RawData!$B$2:$B$42=A81)*RawData!$F$2:$F$42),
        SUMPRODUCT((RawData!$A$2:$A$42=SelectedYear)*(RawData!$B$2:$B$42=A81)*RawData!$G$2:$G$42)))</f>
        <v>30000</v>
      </c>
      <c r="C81" s="13">
        <f>IF(DeptSelection=1,
      SUMPRODUCT((RawData!$A$2:$A$42=PriorYear)*(RawData!$B$2:$B$42=A81)*RawData!$E$2:$E$42),
      IF(DeptSelection=2,
        SUMPRODUCT((RawData!$A$2:$A$42=PriorYear)*(RawData!$B$2:$B$42=A81)*RawData!$F$2:$F$42),
        SUMPRODUCT((RawData!$A$2:$A$42=PriorYear)*(RawData!$B$2:$B$42=A81)*RawData!$G$2:$G$42)))</f>
        <v>27500</v>
      </c>
      <c r="D81" s="31">
        <f t="shared" si="5"/>
        <v>9.0909090909090912E-2</v>
      </c>
      <c r="E81" s="13"/>
      <c r="F81" s="13"/>
      <c r="G81" s="13"/>
      <c r="H81" s="13"/>
      <c r="I81" s="13"/>
      <c r="J81" s="13"/>
      <c r="K81" s="13"/>
    </row>
    <row r="82" spans="1:11">
      <c r="A82" s="13">
        <v>7</v>
      </c>
      <c r="B82" s="14">
        <f>IF(DeptSelection=1,
      SUMPRODUCT((RawData!$A$2:$A$42=SelectedYear)*(RawData!$B$2:$B$42=A82)*RawData!$E$2:$E$42),
      IF(DeptSelection=2,
        SUMPRODUCT((RawData!$A$2:$A$42=SelectedYear)*(RawData!$B$2:$B$42=A82)*RawData!$F$2:$F$42),
        SUMPRODUCT((RawData!$A$2:$A$42=SelectedYear)*(RawData!$B$2:$B$42=A82)*RawData!$G$2:$G$42)))</f>
        <v>32000</v>
      </c>
      <c r="C82" s="13">
        <f>IF(DeptSelection=1,
      SUMPRODUCT((RawData!$A$2:$A$42=PriorYear)*(RawData!$B$2:$B$42=A82)*RawData!$E$2:$E$42),
      IF(DeptSelection=2,
        SUMPRODUCT((RawData!$A$2:$A$42=PriorYear)*(RawData!$B$2:$B$42=A82)*RawData!$F$2:$F$42),
        SUMPRODUCT((RawData!$A$2:$A$42=PriorYear)*(RawData!$B$2:$B$42=A82)*RawData!$G$2:$G$42)))</f>
        <v>29500</v>
      </c>
      <c r="D82" s="31">
        <f t="shared" si="5"/>
        <v>8.4745762711864403E-2</v>
      </c>
      <c r="E82" s="13"/>
      <c r="F82" s="13"/>
      <c r="G82" s="13"/>
      <c r="H82" s="13"/>
      <c r="I82" s="13"/>
      <c r="J82" s="13"/>
      <c r="K82" s="13"/>
    </row>
    <row r="83" spans="1:11">
      <c r="A83" s="13">
        <v>8</v>
      </c>
      <c r="B83" s="14">
        <f>IF(DeptSelection=1,
      SUMPRODUCT((RawData!$A$2:$A$42=SelectedYear)*(RawData!$B$2:$B$42=A83)*RawData!$E$2:$E$42),
      IF(DeptSelection=2,
        SUMPRODUCT((RawData!$A$2:$A$42=SelectedYear)*(RawData!$B$2:$B$42=A83)*RawData!$F$2:$F$42),
        SUMPRODUCT((RawData!$A$2:$A$42=SelectedYear)*(RawData!$B$2:$B$42=A83)*RawData!$G$2:$G$42)))</f>
        <v>31000</v>
      </c>
      <c r="C83" s="13">
        <f>IF(DeptSelection=1,
      SUMPRODUCT((RawData!$A$2:$A$42=PriorYear)*(RawData!$B$2:$B$42=A83)*RawData!$E$2:$E$42),
      IF(DeptSelection=2,
        SUMPRODUCT((RawData!$A$2:$A$42=PriorYear)*(RawData!$B$2:$B$42=A83)*RawData!$F$2:$F$42),
        SUMPRODUCT((RawData!$A$2:$A$42=PriorYear)*(RawData!$B$2:$B$42=A83)*RawData!$G$2:$G$42)))</f>
        <v>28500</v>
      </c>
      <c r="D83" s="31">
        <f t="shared" si="5"/>
        <v>8.771929824561403E-2</v>
      </c>
      <c r="E83" s="13"/>
      <c r="F83" s="13"/>
      <c r="G83" s="13"/>
      <c r="H83" s="13"/>
      <c r="I83" s="13"/>
      <c r="J83" s="13"/>
      <c r="K83" s="13"/>
    </row>
    <row r="84" spans="1:11">
      <c r="A84" s="13">
        <v>9</v>
      </c>
      <c r="B84" s="14">
        <f>IF(DeptSelection=1,
      SUMPRODUCT((RawData!$A$2:$A$42=SelectedYear)*(RawData!$B$2:$B$42=A84)*RawData!$E$2:$E$42),
      IF(DeptSelection=2,
        SUMPRODUCT((RawData!$A$2:$A$42=SelectedYear)*(RawData!$B$2:$B$42=A84)*RawData!$F$2:$F$42),
        SUMPRODUCT((RawData!$A$2:$A$42=SelectedYear)*(RawData!$B$2:$B$42=A84)*RawData!$G$2:$G$42)))</f>
        <v>27500</v>
      </c>
      <c r="C84" s="13">
        <f>IF(DeptSelection=1,
      SUMPRODUCT((RawData!$A$2:$A$42=PriorYear)*(RawData!$B$2:$B$42=A84)*RawData!$E$2:$E$42),
      IF(DeptSelection=2,
        SUMPRODUCT((RawData!$A$2:$A$42=PriorYear)*(RawData!$B$2:$B$42=A84)*RawData!$F$2:$F$42),
        SUMPRODUCT((RawData!$A$2:$A$42=PriorYear)*(RawData!$B$2:$B$42=A84)*RawData!$G$2:$G$42)))</f>
        <v>25500</v>
      </c>
      <c r="D84" s="31">
        <f t="shared" si="5"/>
        <v>7.8431372549019607E-2</v>
      </c>
      <c r="E84" s="13"/>
      <c r="F84" s="13"/>
      <c r="G84" s="13"/>
      <c r="H84" s="13"/>
      <c r="I84" s="13"/>
      <c r="J84" s="13"/>
      <c r="K84" s="13"/>
    </row>
    <row r="85" spans="1:11">
      <c r="A85" s="13">
        <v>10</v>
      </c>
      <c r="B85" s="14">
        <f>IF(DeptSelection=1,
      SUMPRODUCT((RawData!$A$2:$A$42=SelectedYear)*(RawData!$B$2:$B$42=A85)*RawData!$E$2:$E$42),
      IF(DeptSelection=2,
        SUMPRODUCT((RawData!$A$2:$A$42=SelectedYear)*(RawData!$B$2:$B$42=A85)*RawData!$F$2:$F$42),
        SUMPRODUCT((RawData!$A$2:$A$42=SelectedYear)*(RawData!$B$2:$B$42=A85)*RawData!$G$2:$G$42)))</f>
        <v>26000</v>
      </c>
      <c r="C85" s="13">
        <f>IF(DeptSelection=1,
      SUMPRODUCT((RawData!$A$2:$A$42=PriorYear)*(RawData!$B$2:$B$42=A85)*RawData!$E$2:$E$42),
      IF(DeptSelection=2,
        SUMPRODUCT((RawData!$A$2:$A$42=PriorYear)*(RawData!$B$2:$B$42=A85)*RawData!$F$2:$F$42),
        SUMPRODUCT((RawData!$A$2:$A$42=PriorYear)*(RawData!$B$2:$B$42=A85)*RawData!$G$2:$G$42)))</f>
        <v>24000</v>
      </c>
      <c r="D85" s="31">
        <f t="shared" si="5"/>
        <v>8.3333333333333329E-2</v>
      </c>
      <c r="E85" s="13"/>
      <c r="F85" s="13"/>
      <c r="G85" s="13"/>
      <c r="H85" s="13"/>
      <c r="I85" s="13"/>
      <c r="J85" s="13"/>
      <c r="K85" s="13"/>
    </row>
    <row r="86" spans="1:11">
      <c r="A86" s="13">
        <v>11</v>
      </c>
      <c r="B86" s="14">
        <f>IF(DeptSelection=1,
      SUMPRODUCT((RawData!$A$2:$A$42=SelectedYear)*(RawData!$B$2:$B$42=A86)*RawData!$E$2:$E$42),
      IF(DeptSelection=2,
        SUMPRODUCT((RawData!$A$2:$A$42=SelectedYear)*(RawData!$B$2:$B$42=A86)*RawData!$F$2:$F$42),
        SUMPRODUCT((RawData!$A$2:$A$42=SelectedYear)*(RawData!$B$2:$B$42=A86)*RawData!$G$2:$G$42)))</f>
        <v>25500</v>
      </c>
      <c r="C86" s="13">
        <f>IF(DeptSelection=1,
      SUMPRODUCT((RawData!$A$2:$A$42=PriorYear)*(RawData!$B$2:$B$42=A86)*RawData!$E$2:$E$42),
      IF(DeptSelection=2,
        SUMPRODUCT((RawData!$A$2:$A$42=PriorYear)*(RawData!$B$2:$B$42=A86)*RawData!$F$2:$F$42),
        SUMPRODUCT((RawData!$A$2:$A$42=PriorYear)*(RawData!$B$2:$B$42=A86)*RawData!$G$2:$G$42)))</f>
        <v>23500</v>
      </c>
      <c r="D86" s="31">
        <f t="shared" si="5"/>
        <v>8.5106382978723402E-2</v>
      </c>
      <c r="E86" s="13"/>
      <c r="F86" s="13"/>
      <c r="G86" s="13"/>
      <c r="H86" s="13"/>
      <c r="I86" s="13"/>
      <c r="J86" s="13"/>
      <c r="K86" s="13"/>
    </row>
    <row r="87" spans="1:11">
      <c r="A87" s="13">
        <v>12</v>
      </c>
      <c r="B87" s="14">
        <f>IF(DeptSelection=1,
      SUMPRODUCT((RawData!$A$2:$A$42=SelectedYear)*(RawData!$B$2:$B$42=A87)*RawData!$E$2:$E$42),
      IF(DeptSelection=2,
        SUMPRODUCT((RawData!$A$2:$A$42=SelectedYear)*(RawData!$B$2:$B$42=A87)*RawData!$F$2:$F$42),
        SUMPRODUCT((RawData!$A$2:$A$42=SelectedYear)*(RawData!$B$2:$B$42=A87)*RawData!$G$2:$G$42)))</f>
        <v>29000</v>
      </c>
      <c r="C87" s="13">
        <f>IF(DeptSelection=1,
      SUMPRODUCT((RawData!$A$2:$A$42=PriorYear)*(RawData!$B$2:$B$42=A87)*RawData!$E$2:$E$42),
      IF(DeptSelection=2,
        SUMPRODUCT((RawData!$A$2:$A$42=PriorYear)*(RawData!$B$2:$B$42=A87)*RawData!$F$2:$F$42),
        SUMPRODUCT((RawData!$A$2:$A$42=PriorYear)*(RawData!$B$2:$B$42=A87)*RawData!$G$2:$G$42)))</f>
        <v>26500</v>
      </c>
      <c r="D87" s="31">
        <f t="shared" si="5"/>
        <v>9.4339622641509441E-2</v>
      </c>
      <c r="E87" s="13"/>
      <c r="F87" s="13"/>
      <c r="G87" s="13"/>
      <c r="H87" s="13"/>
      <c r="I87" s="13"/>
      <c r="J87" s="13"/>
      <c r="K87" s="13"/>
    </row>
    <row r="89" spans="1:11">
      <c r="A89" s="15" t="s">
        <v>21</v>
      </c>
      <c r="B89" s="16" t="s">
        <v>22</v>
      </c>
      <c r="C89" s="16"/>
      <c r="D89" s="16"/>
      <c r="E89" s="16"/>
      <c r="F89" s="16"/>
      <c r="G89" s="16"/>
      <c r="H89" s="16"/>
      <c r="I89" s="16"/>
      <c r="J89" s="16"/>
      <c r="K89" s="16"/>
    </row>
    <row r="90" spans="1:11">
      <c r="A90" s="15" t="s">
        <v>19</v>
      </c>
      <c r="B90" s="16">
        <f>SUMIFS(表1[Revenue_Plumbing],表1[Year],SelectedYear)</f>
        <v>326503</v>
      </c>
      <c r="C90" s="16"/>
      <c r="D90" s="16"/>
      <c r="E90" s="16"/>
      <c r="F90" s="16"/>
      <c r="G90" s="16"/>
      <c r="H90" s="16"/>
      <c r="I90" s="16"/>
      <c r="J90" s="16"/>
      <c r="K90" s="16"/>
    </row>
    <row r="91" spans="1:11">
      <c r="A91" s="16" t="s">
        <v>12</v>
      </c>
      <c r="B91" s="23">
        <f>SUMIFS(表1[Revenue_HVAC],表1[Year],SelectedYear)</f>
        <v>308500</v>
      </c>
      <c r="C91" s="17"/>
      <c r="D91" s="17"/>
      <c r="E91" s="17"/>
      <c r="F91" s="17"/>
      <c r="G91" s="16"/>
      <c r="H91" s="16"/>
      <c r="I91" s="16"/>
      <c r="J91" s="16"/>
      <c r="K91" s="16"/>
    </row>
    <row r="92" spans="1:11">
      <c r="A92" s="16" t="s">
        <v>20</v>
      </c>
      <c r="B92" s="23">
        <f>SUMIFS(表1[Revenue_Electrical],表1[Year],SelectedYear)</f>
        <v>179500</v>
      </c>
      <c r="C92" s="17"/>
      <c r="D92" s="17"/>
      <c r="E92" s="17"/>
      <c r="F92" s="17"/>
      <c r="G92" s="16"/>
      <c r="H92" s="16"/>
      <c r="I92" s="16"/>
      <c r="J92" s="16"/>
      <c r="K92" s="16"/>
    </row>
    <row r="93" spans="1:11">
      <c r="A93" s="16"/>
      <c r="B93" s="17"/>
      <c r="C93" s="17"/>
      <c r="D93" s="17"/>
      <c r="E93" s="17"/>
      <c r="F93" s="17"/>
      <c r="G93" s="16"/>
      <c r="H93" s="16"/>
      <c r="I93" s="16"/>
      <c r="J93" s="16"/>
      <c r="K93" s="16"/>
    </row>
    <row r="94" spans="1:11">
      <c r="A94" s="20"/>
      <c r="B94" s="24" t="s">
        <v>35</v>
      </c>
      <c r="C94" s="24" t="s">
        <v>36</v>
      </c>
      <c r="D94" s="24" t="s">
        <v>18</v>
      </c>
      <c r="E94" s="24"/>
      <c r="F94" s="24"/>
      <c r="G94" s="20"/>
      <c r="H94" s="20"/>
      <c r="I94" s="20"/>
      <c r="J94" s="20"/>
      <c r="K94" s="20"/>
    </row>
    <row r="95" spans="1:11">
      <c r="A95" s="25" t="s">
        <v>34</v>
      </c>
      <c r="B95" s="26">
        <f>SUM(B34:B45)+SUM(B48:B59)+SUM(B62:B73)</f>
        <v>814503</v>
      </c>
      <c r="C95" s="27">
        <f>SUM(C34:C45)+SUM(C48:C59)+SUM(C62:C73)</f>
        <v>753002</v>
      </c>
      <c r="D95" s="28">
        <f>(Total_Revenue-C95)/C95</f>
        <v>8.1674417863431964E-2</v>
      </c>
      <c r="E95" s="29"/>
      <c r="F95" s="29"/>
      <c r="G95" s="25"/>
      <c r="H95" s="25"/>
      <c r="I95" s="25"/>
      <c r="J95" s="25"/>
      <c r="K95" s="25"/>
    </row>
    <row r="96" spans="1:11">
      <c r="A96" s="25" t="s">
        <v>32</v>
      </c>
      <c r="B96" s="30">
        <f>SUMIFS(表1[Total_Marketing_Cost],表1[Year],SelectedYear)</f>
        <v>52403</v>
      </c>
      <c r="C96" s="27">
        <f>SUMIFS(表1[Total_Marketing_Cost],表1[Year],PriorYear)</f>
        <v>48402</v>
      </c>
      <c r="D96" s="28">
        <f>(Total_Marketing_Cost-C96)/C96</f>
        <v>8.2661873476302633E-2</v>
      </c>
      <c r="E96" s="29"/>
      <c r="F96" s="29"/>
      <c r="G96" s="25"/>
      <c r="H96" s="25"/>
      <c r="I96" s="25"/>
      <c r="J96" s="25"/>
      <c r="K96" s="25"/>
    </row>
    <row r="97" spans="1:11">
      <c r="A97" s="25" t="s">
        <v>33</v>
      </c>
      <c r="B97" s="27">
        <f>SUMIFS(表1[Total_Call_Volume],表1[Year],SelectedYear)</f>
        <v>6603</v>
      </c>
      <c r="C97" s="27">
        <f>SUMIFS(表1[Total_Call_Volume],表1[Year],PriorYear)</f>
        <v>6082</v>
      </c>
      <c r="D97" s="28">
        <f>(ToTal_Call_Volume-C97)/C97</f>
        <v>8.5662610983229207E-2</v>
      </c>
      <c r="E97" s="29"/>
      <c r="F97" s="29"/>
      <c r="G97" s="25"/>
      <c r="H97" s="25"/>
      <c r="I97" s="25"/>
      <c r="J97" s="25"/>
      <c r="K97" s="25"/>
    </row>
    <row r="98" spans="1:11">
      <c r="A98" s="25"/>
      <c r="B98" s="29"/>
      <c r="C98" s="29"/>
      <c r="D98" s="29"/>
      <c r="E98" s="29"/>
      <c r="F98" s="29"/>
      <c r="G98" s="25"/>
      <c r="H98" s="25"/>
      <c r="I98" s="25"/>
      <c r="J98" s="25"/>
      <c r="K98" s="25"/>
    </row>
    <row r="99" spans="1:11">
      <c r="A99" s="25"/>
      <c r="B99" s="29"/>
      <c r="C99" s="29"/>
      <c r="D99" s="29"/>
      <c r="E99" s="29"/>
      <c r="F99" s="29"/>
      <c r="G99" s="25"/>
      <c r="H99" s="25"/>
      <c r="I99" s="25"/>
      <c r="J99" s="25"/>
      <c r="K99" s="25"/>
    </row>
    <row r="100" spans="1:11">
      <c r="A100" s="25"/>
      <c r="B100" s="29"/>
      <c r="C100" s="29"/>
      <c r="D100" s="29"/>
      <c r="E100" s="29"/>
      <c r="F100" s="29"/>
      <c r="G100" s="25"/>
      <c r="H100" s="25"/>
      <c r="I100" s="25"/>
      <c r="J100" s="25"/>
      <c r="K100" s="25"/>
    </row>
    <row r="101" spans="1:11">
      <c r="A101" s="25"/>
      <c r="B101" s="29"/>
      <c r="C101" s="29"/>
      <c r="D101" s="29"/>
      <c r="E101" s="29"/>
      <c r="F101" s="29"/>
      <c r="G101" s="25"/>
      <c r="H101" s="25"/>
      <c r="I101" s="25"/>
      <c r="J101" s="25"/>
      <c r="K101" s="25"/>
    </row>
    <row r="102" spans="1:11">
      <c r="A102" s="25"/>
      <c r="B102" s="29"/>
      <c r="C102" s="29"/>
      <c r="D102" s="29"/>
      <c r="E102" s="29"/>
      <c r="F102" s="29"/>
      <c r="G102" s="25"/>
      <c r="H102" s="25"/>
      <c r="I102" s="25"/>
      <c r="J102" s="25"/>
      <c r="K102" s="25"/>
    </row>
  </sheetData>
  <phoneticPr fontId="2" type="noConversion"/>
  <conditionalFormatting sqref="D95:D97">
    <cfRule type="cellIs" dxfId="0" priority="4" operator="greaterThan">
      <formula>0</formula>
    </cfRule>
  </conditionalFormatting>
  <dataValidations count="1">
    <dataValidation type="whole" allowBlank="1" showInputMessage="1" showErrorMessage="1" promptTitle="DeptSelection" prompt="1=Plumbing，2=HVAC，3=Electrical" sqref="B74" xr:uid="{336686E7-714B-C447-9B6E-16E29C24D5F1}">
      <formula1>1</formula1>
      <formula2>3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74650E67-42F2-AB43-AB64-3CFC198218E5}">
            <x14:iconSet iconSet="3Triangles"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Triangles" iconId="0"/>
              <x14:cfIcon iconSet="NoIcons" iconId="0"/>
              <x14:cfIcon iconSet="3Triangles" iconId="2"/>
            </x14:iconSet>
          </x14:cfRule>
          <x14:cfRule type="iconSet" priority="3" id="{4AC56A0C-BCF1-A34E-9BEF-683CCF2DFBE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D95:D97</xm:sqref>
        </x14:conditionalFormatting>
        <x14:conditionalFormatting xmlns:xm="http://schemas.microsoft.com/office/excel/2006/main">
          <x14:cfRule type="iconSet" priority="1" id="{B272752B-B1C7-574F-BECC-0E2196D0B87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D95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22AA5-54F0-9946-B14D-C0D8BD6F820A}">
  <sheetPr codeName="Sheet4"/>
  <dimension ref="A1:B4"/>
  <sheetViews>
    <sheetView workbookViewId="0"/>
  </sheetViews>
  <sheetFormatPr baseColWidth="10" defaultRowHeight="15"/>
  <cols>
    <col min="1" max="1" width="27.5" bestFit="1" customWidth="1"/>
    <col min="2" max="2" width="8.5" bestFit="1" customWidth="1"/>
  </cols>
  <sheetData>
    <row r="1" spans="1:2">
      <c r="A1" s="5" t="s">
        <v>0</v>
      </c>
      <c r="B1" s="7">
        <v>2026</v>
      </c>
    </row>
    <row r="3" spans="1:2">
      <c r="A3" t="s">
        <v>3</v>
      </c>
    </row>
    <row r="4" spans="1:2">
      <c r="A4" s="6">
        <v>6603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1866-6A8D-FF42-A489-28D5A208FFE6}">
  <dimension ref="A1"/>
  <sheetViews>
    <sheetView topLeftCell="A50" workbookViewId="0">
      <selection activeCell="E87" sqref="E87"/>
    </sheetView>
  </sheetViews>
  <sheetFormatPr baseColWidth="10" defaultRowHeight="15"/>
  <sheetData/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7</vt:i4>
      </vt:variant>
    </vt:vector>
  </HeadingPairs>
  <TitlesOfParts>
    <vt:vector size="12" baseType="lpstr">
      <vt:lpstr>Dashboard</vt:lpstr>
      <vt:lpstr>RawData</vt:lpstr>
      <vt:lpstr>Calc</vt:lpstr>
      <vt:lpstr>Pivot</vt:lpstr>
      <vt:lpstr>summary</vt:lpstr>
      <vt:lpstr>DeptSelection</vt:lpstr>
      <vt:lpstr>PivotYear</vt:lpstr>
      <vt:lpstr>PriorYear</vt:lpstr>
      <vt:lpstr>SelectedYear</vt:lpstr>
      <vt:lpstr>ToTal_Call_Volume</vt:lpstr>
      <vt:lpstr>Total_Marketing_Cost</vt:lpstr>
      <vt:lpstr>Total_Revenue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2026-09-29T12:40:48Z</dcterms:created>
  <dcterms:modified xsi:type="dcterms:W3CDTF">2026-09-30T11:25:09Z</dcterms:modified>
</cp:coreProperties>
</file>